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parking.sharepoint.com/sites/PrjLumi/Shared Documents/40. pur/41_Pur_Purchasing/"/>
    </mc:Choice>
  </mc:AlternateContent>
  <xr:revisionPtr revIDLastSave="0" documentId="14_{FBD6032D-29C1-4970-91C0-E2B4AF67EAAD}" xr6:coauthVersionLast="47" xr6:coauthVersionMax="47" xr10:uidLastSave="{00000000-0000-0000-0000-000000000000}"/>
  <bookViews>
    <workbookView xWindow="-108" yWindow="-108" windowWidth="23256" windowHeight="12456" activeTab="1" xr2:uid="{B91B1113-219D-4FC0-8C29-A262FB3F78B8}"/>
  </bookViews>
  <sheets>
    <sheet name="CL1" sheetId="1" r:id="rId1"/>
    <sheet name="C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4" i="2" l="1"/>
  <c r="H116" i="1"/>
  <c r="I116" i="1"/>
  <c r="J116" i="1"/>
  <c r="K116" i="1"/>
  <c r="L116" i="1"/>
  <c r="M116" i="1"/>
  <c r="Q6" i="1"/>
  <c r="Q7" i="1"/>
  <c r="Q8" i="1"/>
  <c r="Q5" i="1"/>
  <c r="G116" i="1"/>
  <c r="L114" i="1"/>
  <c r="L93" i="2"/>
  <c r="H118" i="1" l="1"/>
  <c r="H120" i="1" s="1"/>
  <c r="Q10" i="1"/>
  <c r="B98" i="2"/>
  <c r="K93" i="2"/>
  <c r="K114" i="1"/>
  <c r="J93" i="2"/>
  <c r="J114" i="1"/>
  <c r="B97" i="2" l="1"/>
  <c r="B96" i="2"/>
</calcChain>
</file>

<file path=xl/sharedStrings.xml><?xml version="1.0" encoding="utf-8"?>
<sst xmlns="http://schemas.openxmlformats.org/spreadsheetml/2006/main" count="767" uniqueCount="42">
  <si>
    <t>SỐ BLOCK</t>
  </si>
  <si>
    <t>ZONE</t>
  </si>
  <si>
    <t>cus</t>
  </si>
  <si>
    <t>bt</t>
  </si>
  <si>
    <t>5870x7660</t>
  </si>
  <si>
    <t>11370x7660</t>
  </si>
  <si>
    <t>11370x5160</t>
  </si>
  <si>
    <t>5870x5160</t>
  </si>
  <si>
    <t>5870x4960</t>
  </si>
  <si>
    <t>11370x4960</t>
  </si>
  <si>
    <t>1 hàng</t>
  </si>
  <si>
    <t>2 hàng</t>
  </si>
  <si>
    <t>10970x7660</t>
  </si>
  <si>
    <t>10970x7460</t>
  </si>
  <si>
    <t>10970x5160</t>
  </si>
  <si>
    <t>5670x7660</t>
  </si>
  <si>
    <t>5670x5160</t>
  </si>
  <si>
    <t>5000x2400</t>
  </si>
  <si>
    <t>5000x2500</t>
  </si>
  <si>
    <t>4800x2500</t>
  </si>
  <si>
    <t>Lưu ý bộ này chiêu dài xe 4800mm</t>
  </si>
  <si>
    <t>bt= Normal</t>
  </si>
  <si>
    <t>sample (Mock up)</t>
  </si>
  <si>
    <t>Cus</t>
  </si>
  <si>
    <t>Note for Column</t>
  </si>
  <si>
    <t>Sample ( Mock up)</t>
  </si>
  <si>
    <t>system outer dimensions</t>
  </si>
  <si>
    <t>pallet size</t>
  </si>
  <si>
    <t>1row or 2 row</t>
  </si>
  <si>
    <t>normal or customized</t>
  </si>
  <si>
    <t>spaces qty</t>
  </si>
  <si>
    <t>remarks</t>
  </si>
  <si>
    <t>shipment batch 1 or 2</t>
  </si>
  <si>
    <t>Số lượng dây điện</t>
  </si>
  <si>
    <t>Motor trượt</t>
  </si>
  <si>
    <t>Motor hàng rào</t>
  </si>
  <si>
    <t>CXV 4x2.5 mm2 0.6/1kV</t>
  </si>
  <si>
    <t>CXV 4x1 mm2 0.6/1kV</t>
  </si>
  <si>
    <t>Loại dây</t>
  </si>
  <si>
    <t>Số Mét</t>
  </si>
  <si>
    <t>Ô Sơn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</si>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</sst>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BD5A2F-AA5F-4708-A6ED-9F0806F1971D}" name="Table3" displayName="Table3" ref="A1:M114" totalsRowCount="1" headerRowDxfId="67" dataDxfId="66">
  <autoFilter ref="A1:M113" xr:uid="{F3BD5A2F-AA5F-4708-A6ED-9F0806F1971D}">
    <filterColumn colId="6">
      <filters>
        <filter val="6"/>
        <filter val="10"/>
      </filters>
    </filterColumn>
  </autoFilter>
  <tableColumns count="13">
    <tableColumn id="1" xr3:uid="{DBEC4169-7B45-47A7-9A2C-1CA8B99D291A}" name="SỐ BLOCK" dataDxfId="65" totalsRowDxfId="64"/>
    <tableColumn id="2" xr3:uid="{BA99CC98-4D0C-49C0-9A42-FB46429E22DB}" name="system outer dimensions" dataDxfId="63" totalsRowDxfId="62"/>
    <tableColumn id="7" xr3:uid="{7AC8E9E3-7082-4685-B38E-A20593F0A780}" name="pallet size" dataDxfId="61" totalsRowDxfId="60"/>
    <tableColumn id="3" xr3:uid="{6856D24A-A92D-46FA-950D-566FC6A4BF31}" name="1row or 2 row" dataDxfId="59" totalsRowDxfId="58"/>
    <tableColumn id="4" xr3:uid="{C02F5A79-95C8-45F4-88C6-C68D59D9FE76}" name="normal or customized" dataDxfId="57" totalsRowDxfId="56"/>
    <tableColumn id="5" xr3:uid="{9E759799-57E3-4EDC-9A82-D3945E2434BC}" name="ZONE" dataDxfId="55" totalsRowDxfId="54"/>
    <tableColumn id="6" xr3:uid="{BF6068F0-0985-42C0-98C6-24F09B0FD3E9}" name="spaces qty" dataDxfId="53" totalsRowDxfId="52"/>
    <tableColumn id="8" xr3:uid="{72BACE24-0F58-4DF3-8B9A-71FB0F2D2D47}" name="shipment batch 1 or 2" dataDxfId="51" totalsRowDxfId="50"/>
    <tableColumn id="9" xr3:uid="{887F37A6-219E-47E6-986B-505DB20A5509}" name="remarks" dataDxfId="49" totalsRowDxfId="48"/>
    <tableColumn id="10" xr3:uid="{02779E8E-AAA1-4A6F-BE0E-6CBCB5102336}" name="Số lượng dây điện" totalsRowFunction="custom" dataDxfId="47" totalsRowDxfId="46">
      <totalsRowFormula>SUBTOTAL(9,J2:J113)</totalsRowFormula>
    </tableColumn>
    <tableColumn id="11" xr3:uid="{F11F2FD5-B813-4E0B-9048-C8CFDBCEFD71}" name="Motor trượt" totalsRowFunction="custom" dataDxfId="45" totalsRowDxfId="44">
      <totalsRowFormula>SUBTOTAL(9,K2:K113)</totalsRowFormula>
    </tableColumn>
    <tableColumn id="12" xr3:uid="{AB52C3F3-0D9D-4809-9776-70C29D934BD0}" name="Motor hàng rào" totalsRowFunction="custom" dataDxfId="43" totalsRowDxfId="42">
      <totalsRowFormula>SUBTOTAL(9,L2:L113)</totalsRowFormula>
    </tableColumn>
    <tableColumn id="13" xr3:uid="{1E910265-1E8C-4235-9933-6C9450268A2F}" name="Ô Sơn" dataDxfId="41" totalsRow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3BA07-0014-4DA8-914F-7040F67005F8}" name="Table1" displayName="Table1" ref="A1:M93" totalsRowCount="1" headerRowDxfId="39" dataDxfId="37" headerRowBorderDxfId="38" tableBorderDxfId="36" totalsRowBorderDxfId="35">
  <autoFilter ref="A1:M92" xr:uid="{B4F3BA07-0014-4DA8-914F-7040F67005F8}"/>
  <tableColumns count="13">
    <tableColumn id="1" xr3:uid="{E6F8EE08-F8EB-4F4C-9A0B-2D4D479A307C}" name="SỐ BLOCK" dataDxfId="34" totalsRowDxfId="12"/>
    <tableColumn id="2" xr3:uid="{CDD2BA37-4A45-47BE-8243-09E8A549FB01}" name="system outer dimensions" dataDxfId="33" totalsRowDxfId="11"/>
    <tableColumn id="9" xr3:uid="{885FFF94-6099-4804-B2B6-6F56A07E4244}" name="pallet size" dataDxfId="32" totalsRowDxfId="10"/>
    <tableColumn id="3" xr3:uid="{342BC395-D53F-4F3C-BB84-0FB6ACE024E6}" name="1row or 2 row" dataDxfId="31" totalsRowDxfId="9"/>
    <tableColumn id="4" xr3:uid="{1900372D-46D1-479D-9BCA-419B917742EC}" name="normal or customized" dataDxfId="30" totalsRowDxfId="8"/>
    <tableColumn id="5" xr3:uid="{3A95F761-D6A8-49BE-8B30-969AACCD97DD}" name="ZONE" dataDxfId="29" totalsRowDxfId="7"/>
    <tableColumn id="6" xr3:uid="{9AE5466E-9499-40E1-946C-D75B8E6F6ADA}" name="spaces qty" dataDxfId="28" totalsRowDxfId="6"/>
    <tableColumn id="7" xr3:uid="{99B5C0CF-6682-4DC5-8C58-BA768B9D4F70}" name="remarks" dataDxfId="27" totalsRowDxfId="5"/>
    <tableColumn id="8" xr3:uid="{0965C587-10F0-4C39-8C36-B501B03DD62E}" name="shipment batch 1 or 2" dataDxfId="26" totalsRowDxfId="4"/>
    <tableColumn id="10" xr3:uid="{4D0425A5-11F0-407D-9F68-7332B194C6D4}" name="Số lượng dây điện" totalsRowFunction="custom" dataDxfId="25" totalsRowDxfId="3">
      <totalsRowFormula>SUBTOTAL(9,Table1[Số lượng dây điện])</totalsRowFormula>
    </tableColumn>
    <tableColumn id="11" xr3:uid="{22B3F426-E8B0-491D-8C7D-DD698CE58152}" name="Motor trượt" totalsRowFunction="custom" dataDxfId="24" totalsRowDxfId="2">
      <totalsRowFormula>SUBTOTAL(9,Table1[Motor trượt])</totalsRowFormula>
    </tableColumn>
    <tableColumn id="12" xr3:uid="{307BA681-FE4C-4D70-BDC6-2D79ABBFD901}" name="Motor hàng rào" totalsRowFunction="custom" dataDxfId="23" totalsRowDxfId="1">
      <totalsRowFormula>SUBTOTAL(9,Table1[Motor hàng rào])</totalsRowFormula>
    </tableColumn>
    <tableColumn id="13" xr3:uid="{6388E4D7-1A27-4E8E-909B-B1DE0E6A7123}" name="Column1" dataDxfId="13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A831E-55F5-403D-9C72-937BDE632F85}" name="Table2" displayName="Table2" ref="A95:B98" totalsRowShown="0">
  <autoFilter ref="A95:B98" xr:uid="{36DA831E-55F5-403D-9C72-937BDE632F85}"/>
  <tableColumns count="2">
    <tableColumn id="1" xr3:uid="{0F045279-3C17-4601-A1A5-A935F7F2C13F}" name="Loại dây"/>
    <tableColumn id="2" xr3:uid="{578829AA-77AF-41E3-99C6-8AC8BE7B6AA9}" name="Số Mé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07FD-DE04-413D-A614-DA2A7D7C6271}">
  <dimension ref="A1:Q120"/>
  <sheetViews>
    <sheetView topLeftCell="B98" zoomScale="85" zoomScaleNormal="85" workbookViewId="0">
      <selection activeCell="T118" sqref="S118:T118"/>
    </sheetView>
  </sheetViews>
  <sheetFormatPr defaultRowHeight="14.4" x14ac:dyDescent="0.3"/>
  <cols>
    <col min="1" max="1" width="20.21875" style="13" customWidth="1"/>
    <col min="2" max="2" width="24.5546875" style="13" customWidth="1"/>
    <col min="3" max="7" width="20.21875" style="13" customWidth="1"/>
    <col min="8" max="9" width="20.21875" style="13" hidden="1" customWidth="1"/>
    <col min="10" max="10" width="17.5546875" style="13" hidden="1" customWidth="1"/>
    <col min="11" max="11" width="18.88671875" style="13" hidden="1" customWidth="1"/>
    <col min="12" max="12" width="19.33203125" style="13" hidden="1" customWidth="1"/>
    <col min="13" max="14" width="8.88671875" style="13"/>
    <col min="15" max="18" width="0" style="13" hidden="1" customWidth="1"/>
    <col min="19" max="16384" width="8.88671875" style="13"/>
  </cols>
  <sheetData>
    <row r="1" spans="1:17" x14ac:dyDescent="0.3">
      <c r="A1" s="13" t="s">
        <v>0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1</v>
      </c>
      <c r="G1" s="13" t="s">
        <v>30</v>
      </c>
      <c r="H1" s="13" t="s">
        <v>32</v>
      </c>
      <c r="I1" s="13" t="s">
        <v>31</v>
      </c>
      <c r="J1" s="13" t="s">
        <v>33</v>
      </c>
      <c r="K1" s="13" t="s">
        <v>34</v>
      </c>
      <c r="L1" s="13" t="s">
        <v>35</v>
      </c>
      <c r="M1" s="13" t="s">
        <v>40</v>
      </c>
    </row>
    <row r="2" spans="1:17" hidden="1" x14ac:dyDescent="0.3">
      <c r="A2" s="5">
        <v>1</v>
      </c>
      <c r="B2" s="5" t="s">
        <v>4</v>
      </c>
      <c r="C2" s="5" t="s">
        <v>18</v>
      </c>
      <c r="D2" s="5" t="s">
        <v>10</v>
      </c>
      <c r="E2" s="5" t="s">
        <v>21</v>
      </c>
      <c r="F2" s="5">
        <v>4</v>
      </c>
      <c r="G2" s="5">
        <v>5</v>
      </c>
      <c r="H2" s="15">
        <v>2</v>
      </c>
      <c r="I2" s="15"/>
      <c r="J2" s="15">
        <v>21</v>
      </c>
      <c r="K2" s="15">
        <v>20.8</v>
      </c>
      <c r="L2" s="15">
        <v>16</v>
      </c>
      <c r="M2" s="15"/>
    </row>
    <row r="3" spans="1:17" hidden="1" x14ac:dyDescent="0.3">
      <c r="A3" s="5">
        <v>2</v>
      </c>
      <c r="B3" s="5" t="s">
        <v>4</v>
      </c>
      <c r="C3" s="5" t="s">
        <v>18</v>
      </c>
      <c r="D3" s="5" t="s">
        <v>10</v>
      </c>
      <c r="E3" s="5" t="s">
        <v>3</v>
      </c>
      <c r="F3" s="5">
        <v>4</v>
      </c>
      <c r="G3" s="5">
        <v>5</v>
      </c>
      <c r="H3" s="15">
        <v>2</v>
      </c>
      <c r="I3" s="5"/>
      <c r="J3" s="15">
        <v>21</v>
      </c>
      <c r="K3" s="15">
        <v>20.8</v>
      </c>
      <c r="L3" s="15">
        <v>16</v>
      </c>
      <c r="M3" s="5"/>
    </row>
    <row r="4" spans="1:17" hidden="1" x14ac:dyDescent="0.3">
      <c r="A4" s="5">
        <v>3</v>
      </c>
      <c r="B4" s="5" t="s">
        <v>4</v>
      </c>
      <c r="C4" s="5" t="s">
        <v>18</v>
      </c>
      <c r="D4" s="5" t="s">
        <v>10</v>
      </c>
      <c r="E4" s="5" t="s">
        <v>3</v>
      </c>
      <c r="F4" s="5">
        <v>4</v>
      </c>
      <c r="G4" s="5">
        <v>5</v>
      </c>
      <c r="H4" s="15">
        <v>2</v>
      </c>
      <c r="I4" s="5"/>
      <c r="J4" s="15">
        <v>21</v>
      </c>
      <c r="K4" s="15">
        <v>20.8</v>
      </c>
      <c r="L4" s="15">
        <v>16</v>
      </c>
      <c r="M4" s="5"/>
    </row>
    <row r="5" spans="1:17" hidden="1" x14ac:dyDescent="0.3">
      <c r="A5" s="5">
        <v>4</v>
      </c>
      <c r="B5" s="5" t="s">
        <v>4</v>
      </c>
      <c r="C5" s="5" t="s">
        <v>18</v>
      </c>
      <c r="D5" s="5" t="s">
        <v>10</v>
      </c>
      <c r="E5" s="5" t="s">
        <v>3</v>
      </c>
      <c r="F5" s="5">
        <v>4</v>
      </c>
      <c r="G5" s="5">
        <v>5</v>
      </c>
      <c r="H5" s="15">
        <v>2</v>
      </c>
      <c r="I5" s="5"/>
      <c r="J5" s="15">
        <v>21</v>
      </c>
      <c r="K5" s="15">
        <v>20.8</v>
      </c>
      <c r="L5" s="15">
        <v>16</v>
      </c>
      <c r="M5" s="5"/>
      <c r="O5" s="13">
        <v>18</v>
      </c>
      <c r="P5" s="17">
        <v>83</v>
      </c>
      <c r="Q5" s="13">
        <f>P5*O5</f>
        <v>1494</v>
      </c>
    </row>
    <row r="6" spans="1:17" x14ac:dyDescent="0.3">
      <c r="A6" s="5">
        <v>5</v>
      </c>
      <c r="B6" s="5" t="s">
        <v>5</v>
      </c>
      <c r="C6" s="5" t="s">
        <v>18</v>
      </c>
      <c r="D6" s="5" t="s">
        <v>11</v>
      </c>
      <c r="E6" s="5" t="s">
        <v>3</v>
      </c>
      <c r="F6" s="5">
        <v>4</v>
      </c>
      <c r="G6" s="5">
        <v>10</v>
      </c>
      <c r="H6" s="15">
        <v>2</v>
      </c>
      <c r="I6" s="5"/>
      <c r="J6" s="5">
        <v>83</v>
      </c>
      <c r="K6" s="5">
        <v>69</v>
      </c>
      <c r="L6" s="5">
        <v>21</v>
      </c>
      <c r="M6" s="5">
        <v>3</v>
      </c>
      <c r="O6" s="13">
        <v>2</v>
      </c>
      <c r="P6" s="5">
        <v>50</v>
      </c>
      <c r="Q6" s="13">
        <f t="shared" ref="Q6:Q8" si="0">P6*O6</f>
        <v>100</v>
      </c>
    </row>
    <row r="7" spans="1:17" x14ac:dyDescent="0.3">
      <c r="A7" s="5">
        <v>6</v>
      </c>
      <c r="B7" s="5" t="s">
        <v>6</v>
      </c>
      <c r="C7" s="5" t="s">
        <v>18</v>
      </c>
      <c r="D7" s="5" t="s">
        <v>11</v>
      </c>
      <c r="E7" s="5" t="s">
        <v>3</v>
      </c>
      <c r="F7" s="5">
        <v>4</v>
      </c>
      <c r="G7" s="5">
        <v>6</v>
      </c>
      <c r="H7" s="15">
        <v>2</v>
      </c>
      <c r="I7" s="5"/>
      <c r="J7" s="5">
        <v>50</v>
      </c>
      <c r="K7" s="5">
        <v>27</v>
      </c>
      <c r="L7" s="5">
        <v>21</v>
      </c>
      <c r="M7" s="5">
        <v>2</v>
      </c>
      <c r="O7" s="13">
        <v>15</v>
      </c>
      <c r="P7" s="16">
        <v>21</v>
      </c>
      <c r="Q7" s="13">
        <f t="shared" si="0"/>
        <v>315</v>
      </c>
    </row>
    <row r="8" spans="1:17" x14ac:dyDescent="0.3">
      <c r="A8" s="5">
        <v>7</v>
      </c>
      <c r="B8" s="5" t="s">
        <v>9</v>
      </c>
      <c r="C8" s="5" t="s">
        <v>17</v>
      </c>
      <c r="D8" s="5" t="s">
        <v>11</v>
      </c>
      <c r="E8" s="14" t="s">
        <v>2</v>
      </c>
      <c r="F8" s="5">
        <v>4</v>
      </c>
      <c r="G8" s="5">
        <v>6</v>
      </c>
      <c r="H8" s="15">
        <v>2</v>
      </c>
      <c r="I8" s="5"/>
      <c r="J8" s="5">
        <v>50</v>
      </c>
      <c r="K8" s="5">
        <v>27</v>
      </c>
      <c r="L8" s="5">
        <v>21</v>
      </c>
      <c r="M8" s="5">
        <v>2</v>
      </c>
      <c r="O8" s="13">
        <v>10</v>
      </c>
      <c r="P8" s="5">
        <v>11.5</v>
      </c>
      <c r="Q8" s="13">
        <f t="shared" si="0"/>
        <v>115</v>
      </c>
    </row>
    <row r="9" spans="1:17" x14ac:dyDescent="0.3">
      <c r="A9" s="5">
        <v>8</v>
      </c>
      <c r="B9" s="5" t="s">
        <v>6</v>
      </c>
      <c r="C9" s="5" t="s">
        <v>18</v>
      </c>
      <c r="D9" s="5" t="s">
        <v>11</v>
      </c>
      <c r="E9" s="5" t="s">
        <v>3</v>
      </c>
      <c r="F9" s="5">
        <v>4</v>
      </c>
      <c r="G9" s="5">
        <v>6</v>
      </c>
      <c r="H9" s="15">
        <v>2</v>
      </c>
      <c r="I9" s="5"/>
      <c r="J9" s="5">
        <v>50</v>
      </c>
      <c r="K9" s="5">
        <v>27</v>
      </c>
      <c r="L9" s="5">
        <v>21</v>
      </c>
      <c r="M9" s="5">
        <v>2</v>
      </c>
    </row>
    <row r="10" spans="1:17" hidden="1" x14ac:dyDescent="0.3">
      <c r="A10" s="5">
        <v>9</v>
      </c>
      <c r="B10" s="5" t="s">
        <v>4</v>
      </c>
      <c r="C10" s="5" t="s">
        <v>18</v>
      </c>
      <c r="D10" s="5" t="s">
        <v>10</v>
      </c>
      <c r="E10" s="5" t="s">
        <v>3</v>
      </c>
      <c r="F10" s="5">
        <v>5</v>
      </c>
      <c r="G10" s="5">
        <v>5</v>
      </c>
      <c r="H10" s="15">
        <v>2</v>
      </c>
      <c r="I10" s="5"/>
      <c r="J10" s="15">
        <v>21</v>
      </c>
      <c r="K10" s="15">
        <v>20.8</v>
      </c>
      <c r="L10" s="15">
        <v>16</v>
      </c>
      <c r="M10" s="5"/>
      <c r="Q10" s="13">
        <f>SUM(Q5:Q8)</f>
        <v>2024</v>
      </c>
    </row>
    <row r="11" spans="1:17" hidden="1" x14ac:dyDescent="0.3">
      <c r="A11" s="5">
        <v>10</v>
      </c>
      <c r="B11" s="5" t="s">
        <v>4</v>
      </c>
      <c r="C11" s="5" t="s">
        <v>18</v>
      </c>
      <c r="D11" s="5" t="s">
        <v>10</v>
      </c>
      <c r="E11" s="5" t="s">
        <v>3</v>
      </c>
      <c r="F11" s="5">
        <v>5</v>
      </c>
      <c r="G11" s="5">
        <v>5</v>
      </c>
      <c r="H11" s="15">
        <v>2</v>
      </c>
      <c r="I11" s="5"/>
      <c r="J11" s="15">
        <v>21</v>
      </c>
      <c r="K11" s="15">
        <v>20.8</v>
      </c>
      <c r="L11" s="15">
        <v>16</v>
      </c>
      <c r="M11" s="5"/>
    </row>
    <row r="12" spans="1:17" hidden="1" x14ac:dyDescent="0.3">
      <c r="A12" s="5">
        <v>11</v>
      </c>
      <c r="B12" s="5" t="s">
        <v>4</v>
      </c>
      <c r="C12" s="5" t="s">
        <v>18</v>
      </c>
      <c r="D12" s="5" t="s">
        <v>10</v>
      </c>
      <c r="E12" s="5" t="s">
        <v>3</v>
      </c>
      <c r="F12" s="5">
        <v>5</v>
      </c>
      <c r="G12" s="5">
        <v>5</v>
      </c>
      <c r="H12" s="15">
        <v>2</v>
      </c>
      <c r="I12" s="5"/>
      <c r="J12" s="15">
        <v>21</v>
      </c>
      <c r="K12" s="15">
        <v>20.8</v>
      </c>
      <c r="L12" s="15">
        <v>16</v>
      </c>
      <c r="M12" s="5"/>
    </row>
    <row r="13" spans="1:17" hidden="1" x14ac:dyDescent="0.3">
      <c r="A13" s="5">
        <v>12</v>
      </c>
      <c r="B13" s="5" t="s">
        <v>4</v>
      </c>
      <c r="C13" s="5" t="s">
        <v>18</v>
      </c>
      <c r="D13" s="5" t="s">
        <v>10</v>
      </c>
      <c r="E13" s="5" t="s">
        <v>3</v>
      </c>
      <c r="F13" s="5">
        <v>5</v>
      </c>
      <c r="G13" s="5">
        <v>5</v>
      </c>
      <c r="H13" s="15">
        <v>2</v>
      </c>
      <c r="I13" s="5"/>
      <c r="J13" s="15">
        <v>21</v>
      </c>
      <c r="K13" s="15">
        <v>20.8</v>
      </c>
      <c r="L13" s="15">
        <v>16</v>
      </c>
      <c r="M13" s="5"/>
    </row>
    <row r="14" spans="1:17" x14ac:dyDescent="0.3">
      <c r="A14" s="5">
        <v>13</v>
      </c>
      <c r="B14" s="5" t="s">
        <v>6</v>
      </c>
      <c r="C14" s="5" t="s">
        <v>18</v>
      </c>
      <c r="D14" s="5" t="s">
        <v>11</v>
      </c>
      <c r="E14" s="5" t="s">
        <v>3</v>
      </c>
      <c r="F14" s="5">
        <v>5</v>
      </c>
      <c r="G14" s="5">
        <v>6</v>
      </c>
      <c r="H14" s="15">
        <v>2</v>
      </c>
      <c r="I14" s="5"/>
      <c r="J14" s="5">
        <v>50</v>
      </c>
      <c r="K14" s="5">
        <v>27</v>
      </c>
      <c r="L14" s="5">
        <v>21</v>
      </c>
      <c r="M14" s="5">
        <v>2</v>
      </c>
    </row>
    <row r="15" spans="1:17" hidden="1" x14ac:dyDescent="0.3">
      <c r="A15" s="5">
        <v>14</v>
      </c>
      <c r="B15" s="5" t="s">
        <v>4</v>
      </c>
      <c r="C15" s="5" t="s">
        <v>18</v>
      </c>
      <c r="D15" s="5" t="s">
        <v>10</v>
      </c>
      <c r="E15" s="5" t="s">
        <v>23</v>
      </c>
      <c r="F15" s="5">
        <v>5</v>
      </c>
      <c r="G15" s="5">
        <v>5</v>
      </c>
      <c r="H15" s="15">
        <v>2</v>
      </c>
      <c r="I15" s="5" t="s">
        <v>24</v>
      </c>
      <c r="J15" s="15">
        <v>21</v>
      </c>
      <c r="K15" s="15">
        <v>20.8</v>
      </c>
      <c r="L15" s="15">
        <v>16</v>
      </c>
      <c r="M15" s="5"/>
    </row>
    <row r="16" spans="1:17" hidden="1" x14ac:dyDescent="0.3">
      <c r="A16" s="5">
        <v>15</v>
      </c>
      <c r="B16" s="5" t="s">
        <v>4</v>
      </c>
      <c r="C16" s="5" t="s">
        <v>18</v>
      </c>
      <c r="D16" s="5" t="s">
        <v>10</v>
      </c>
      <c r="E16" s="5" t="s">
        <v>3</v>
      </c>
      <c r="F16" s="5">
        <v>5</v>
      </c>
      <c r="G16" s="5">
        <v>5</v>
      </c>
      <c r="H16" s="15">
        <v>2</v>
      </c>
      <c r="I16" s="5"/>
      <c r="J16" s="15">
        <v>21</v>
      </c>
      <c r="K16" s="15">
        <v>20.8</v>
      </c>
      <c r="L16" s="15">
        <v>16</v>
      </c>
      <c r="M16" s="5"/>
    </row>
    <row r="17" spans="1:13" hidden="1" x14ac:dyDescent="0.3">
      <c r="A17" s="5">
        <v>16</v>
      </c>
      <c r="B17" s="5" t="s">
        <v>4</v>
      </c>
      <c r="C17" s="5" t="s">
        <v>18</v>
      </c>
      <c r="D17" s="5" t="s">
        <v>10</v>
      </c>
      <c r="E17" s="5" t="s">
        <v>3</v>
      </c>
      <c r="F17" s="5">
        <v>5</v>
      </c>
      <c r="G17" s="5">
        <v>5</v>
      </c>
      <c r="H17" s="15">
        <v>2</v>
      </c>
      <c r="I17" s="5"/>
      <c r="J17" s="15">
        <v>21</v>
      </c>
      <c r="K17" s="15">
        <v>20.8</v>
      </c>
      <c r="L17" s="15">
        <v>16</v>
      </c>
      <c r="M17" s="5"/>
    </row>
    <row r="18" spans="1:13" hidden="1" x14ac:dyDescent="0.3">
      <c r="A18" s="5">
        <v>17</v>
      </c>
      <c r="B18" s="5" t="s">
        <v>4</v>
      </c>
      <c r="C18" s="5" t="s">
        <v>18</v>
      </c>
      <c r="D18" s="5" t="s">
        <v>10</v>
      </c>
      <c r="E18" s="5" t="s">
        <v>3</v>
      </c>
      <c r="F18" s="5">
        <v>5</v>
      </c>
      <c r="G18" s="5">
        <v>5</v>
      </c>
      <c r="H18" s="15">
        <v>2</v>
      </c>
      <c r="I18" s="5"/>
      <c r="J18" s="15">
        <v>21</v>
      </c>
      <c r="K18" s="15">
        <v>20.8</v>
      </c>
      <c r="L18" s="15">
        <v>16</v>
      </c>
      <c r="M18" s="5"/>
    </row>
    <row r="19" spans="1:13" hidden="1" x14ac:dyDescent="0.3">
      <c r="A19" s="5">
        <v>18</v>
      </c>
      <c r="B19" s="5" t="s">
        <v>7</v>
      </c>
      <c r="C19" s="5" t="s">
        <v>18</v>
      </c>
      <c r="D19" s="5" t="s">
        <v>10</v>
      </c>
      <c r="E19" s="5" t="s">
        <v>3</v>
      </c>
      <c r="F19" s="5">
        <v>5</v>
      </c>
      <c r="G19" s="5">
        <v>3</v>
      </c>
      <c r="H19" s="15">
        <v>2</v>
      </c>
      <c r="I19" s="5"/>
      <c r="J19" s="5">
        <v>11.5</v>
      </c>
      <c r="K19" s="5">
        <v>9</v>
      </c>
      <c r="L19" s="15">
        <v>16</v>
      </c>
      <c r="M19" s="5"/>
    </row>
    <row r="20" spans="1:13" x14ac:dyDescent="0.3">
      <c r="A20" s="5">
        <v>19</v>
      </c>
      <c r="B20" s="5" t="s">
        <v>5</v>
      </c>
      <c r="C20" s="5" t="s">
        <v>18</v>
      </c>
      <c r="D20" s="5" t="s">
        <v>11</v>
      </c>
      <c r="E20" s="5" t="s">
        <v>3</v>
      </c>
      <c r="F20" s="5">
        <v>5</v>
      </c>
      <c r="G20" s="5">
        <v>10</v>
      </c>
      <c r="H20" s="15">
        <v>2</v>
      </c>
      <c r="I20" s="5"/>
      <c r="J20" s="5">
        <v>83</v>
      </c>
      <c r="K20" s="5">
        <v>69</v>
      </c>
      <c r="L20" s="5">
        <v>21</v>
      </c>
      <c r="M20" s="5">
        <v>3</v>
      </c>
    </row>
    <row r="21" spans="1:13" x14ac:dyDescent="0.3">
      <c r="A21" s="5">
        <v>20</v>
      </c>
      <c r="B21" s="5" t="s">
        <v>5</v>
      </c>
      <c r="C21" s="5" t="s">
        <v>18</v>
      </c>
      <c r="D21" s="5" t="s">
        <v>11</v>
      </c>
      <c r="E21" s="5" t="s">
        <v>3</v>
      </c>
      <c r="F21" s="5">
        <v>5</v>
      </c>
      <c r="G21" s="5">
        <v>10</v>
      </c>
      <c r="H21" s="15">
        <v>2</v>
      </c>
      <c r="I21" s="5" t="s">
        <v>22</v>
      </c>
      <c r="J21" s="5">
        <v>83</v>
      </c>
      <c r="K21" s="5">
        <v>69</v>
      </c>
      <c r="L21" s="5">
        <v>21</v>
      </c>
      <c r="M21" s="5">
        <v>3</v>
      </c>
    </row>
    <row r="22" spans="1:13" x14ac:dyDescent="0.3">
      <c r="A22" s="5">
        <v>21</v>
      </c>
      <c r="B22" s="5" t="s">
        <v>5</v>
      </c>
      <c r="C22" s="5" t="s">
        <v>18</v>
      </c>
      <c r="D22" s="5" t="s">
        <v>11</v>
      </c>
      <c r="E22" s="5" t="s">
        <v>3</v>
      </c>
      <c r="F22" s="5">
        <v>6</v>
      </c>
      <c r="G22" s="5">
        <v>10</v>
      </c>
      <c r="H22" s="5">
        <v>1</v>
      </c>
      <c r="I22" s="5"/>
      <c r="J22" s="5">
        <v>83</v>
      </c>
      <c r="K22" s="5">
        <v>69</v>
      </c>
      <c r="L22" s="5">
        <v>21</v>
      </c>
      <c r="M22" s="5">
        <v>3</v>
      </c>
    </row>
    <row r="23" spans="1:13" x14ac:dyDescent="0.3">
      <c r="A23" s="5">
        <v>22</v>
      </c>
      <c r="B23" s="5" t="s">
        <v>5</v>
      </c>
      <c r="C23" s="5" t="s">
        <v>18</v>
      </c>
      <c r="D23" s="5" t="s">
        <v>11</v>
      </c>
      <c r="E23" s="5" t="s">
        <v>3</v>
      </c>
      <c r="F23" s="5">
        <v>6</v>
      </c>
      <c r="G23" s="5">
        <v>10</v>
      </c>
      <c r="H23" s="5">
        <v>1</v>
      </c>
      <c r="I23" s="5"/>
      <c r="J23" s="5">
        <v>83</v>
      </c>
      <c r="K23" s="5">
        <v>69</v>
      </c>
      <c r="L23" s="5">
        <v>21</v>
      </c>
      <c r="M23" s="5">
        <v>3</v>
      </c>
    </row>
    <row r="24" spans="1:13" x14ac:dyDescent="0.3">
      <c r="A24" s="5">
        <v>23</v>
      </c>
      <c r="B24" s="5" t="s">
        <v>5</v>
      </c>
      <c r="C24" s="5" t="s">
        <v>18</v>
      </c>
      <c r="D24" s="5" t="s">
        <v>11</v>
      </c>
      <c r="E24" s="5" t="s">
        <v>3</v>
      </c>
      <c r="F24" s="5">
        <v>6</v>
      </c>
      <c r="G24" s="5">
        <v>10</v>
      </c>
      <c r="H24" s="5">
        <v>1</v>
      </c>
      <c r="I24" s="5"/>
      <c r="J24" s="5">
        <v>83</v>
      </c>
      <c r="K24" s="5">
        <v>69</v>
      </c>
      <c r="L24" s="5">
        <v>21</v>
      </c>
      <c r="M24" s="5">
        <v>3</v>
      </c>
    </row>
    <row r="25" spans="1:13" x14ac:dyDescent="0.3">
      <c r="A25" s="5">
        <v>24</v>
      </c>
      <c r="B25" s="5" t="s">
        <v>5</v>
      </c>
      <c r="C25" s="5" t="s">
        <v>18</v>
      </c>
      <c r="D25" s="5" t="s">
        <v>11</v>
      </c>
      <c r="E25" s="5" t="s">
        <v>3</v>
      </c>
      <c r="F25" s="5">
        <v>5</v>
      </c>
      <c r="G25" s="5">
        <v>10</v>
      </c>
      <c r="H25" s="15">
        <v>2</v>
      </c>
      <c r="I25" s="5"/>
      <c r="J25" s="5">
        <v>83</v>
      </c>
      <c r="K25" s="5">
        <v>69</v>
      </c>
      <c r="L25" s="5">
        <v>21</v>
      </c>
      <c r="M25" s="5">
        <v>3</v>
      </c>
    </row>
    <row r="26" spans="1:13" x14ac:dyDescent="0.3">
      <c r="A26" s="5">
        <v>25</v>
      </c>
      <c r="B26" s="5" t="s">
        <v>5</v>
      </c>
      <c r="C26" s="5" t="s">
        <v>18</v>
      </c>
      <c r="D26" s="5" t="s">
        <v>11</v>
      </c>
      <c r="E26" s="5" t="s">
        <v>3</v>
      </c>
      <c r="F26" s="5">
        <v>6</v>
      </c>
      <c r="G26" s="5">
        <v>10</v>
      </c>
      <c r="H26" s="5">
        <v>1</v>
      </c>
      <c r="I26" s="5"/>
      <c r="J26" s="5">
        <v>83</v>
      </c>
      <c r="K26" s="5">
        <v>69</v>
      </c>
      <c r="L26" s="5">
        <v>21</v>
      </c>
      <c r="M26" s="5">
        <v>3</v>
      </c>
    </row>
    <row r="27" spans="1:13" x14ac:dyDescent="0.3">
      <c r="A27" s="5">
        <v>26</v>
      </c>
      <c r="B27" s="5" t="s">
        <v>5</v>
      </c>
      <c r="C27" s="5" t="s">
        <v>18</v>
      </c>
      <c r="D27" s="5" t="s">
        <v>11</v>
      </c>
      <c r="E27" s="5" t="s">
        <v>3</v>
      </c>
      <c r="F27" s="5">
        <v>6</v>
      </c>
      <c r="G27" s="5">
        <v>10</v>
      </c>
      <c r="H27" s="5">
        <v>1</v>
      </c>
      <c r="I27" s="5"/>
      <c r="J27" s="5">
        <v>83</v>
      </c>
      <c r="K27" s="5">
        <v>69</v>
      </c>
      <c r="L27" s="5">
        <v>21</v>
      </c>
      <c r="M27" s="5">
        <v>3</v>
      </c>
    </row>
    <row r="28" spans="1:13" x14ac:dyDescent="0.3">
      <c r="A28" s="5">
        <v>27</v>
      </c>
      <c r="B28" s="5" t="s">
        <v>6</v>
      </c>
      <c r="C28" s="5" t="s">
        <v>18</v>
      </c>
      <c r="D28" s="5" t="s">
        <v>11</v>
      </c>
      <c r="E28" s="5" t="s">
        <v>3</v>
      </c>
      <c r="F28" s="5">
        <v>6</v>
      </c>
      <c r="G28" s="5">
        <v>6</v>
      </c>
      <c r="H28" s="5">
        <v>1</v>
      </c>
      <c r="I28" s="5"/>
      <c r="J28" s="5">
        <v>50</v>
      </c>
      <c r="K28" s="5">
        <v>27</v>
      </c>
      <c r="L28" s="5">
        <v>21</v>
      </c>
      <c r="M28" s="5">
        <v>2</v>
      </c>
    </row>
    <row r="29" spans="1:13" x14ac:dyDescent="0.3">
      <c r="A29" s="5">
        <v>28</v>
      </c>
      <c r="B29" s="5" t="s">
        <v>9</v>
      </c>
      <c r="C29" s="5" t="s">
        <v>17</v>
      </c>
      <c r="D29" s="5" t="s">
        <v>11</v>
      </c>
      <c r="E29" s="14" t="s">
        <v>2</v>
      </c>
      <c r="F29" s="5">
        <v>6</v>
      </c>
      <c r="G29" s="5">
        <v>6</v>
      </c>
      <c r="H29" s="5">
        <v>1</v>
      </c>
      <c r="I29" s="5"/>
      <c r="J29" s="5">
        <v>50</v>
      </c>
      <c r="K29" s="5">
        <v>27</v>
      </c>
      <c r="L29" s="5">
        <v>21</v>
      </c>
      <c r="M29" s="5">
        <v>2</v>
      </c>
    </row>
    <row r="30" spans="1:13" x14ac:dyDescent="0.3">
      <c r="A30" s="5">
        <v>29</v>
      </c>
      <c r="B30" s="5" t="s">
        <v>5</v>
      </c>
      <c r="C30" s="5" t="s">
        <v>18</v>
      </c>
      <c r="D30" s="5" t="s">
        <v>11</v>
      </c>
      <c r="E30" s="5" t="s">
        <v>3</v>
      </c>
      <c r="F30" s="5">
        <v>5</v>
      </c>
      <c r="G30" s="5">
        <v>10</v>
      </c>
      <c r="H30" s="15">
        <v>2</v>
      </c>
      <c r="I30" s="5"/>
      <c r="J30" s="5">
        <v>83</v>
      </c>
      <c r="K30" s="5">
        <v>69</v>
      </c>
      <c r="L30" s="5">
        <v>21</v>
      </c>
      <c r="M30" s="5">
        <v>3</v>
      </c>
    </row>
    <row r="31" spans="1:13" hidden="1" x14ac:dyDescent="0.3">
      <c r="A31" s="5">
        <v>30</v>
      </c>
      <c r="B31" s="5" t="s">
        <v>4</v>
      </c>
      <c r="C31" s="5" t="s">
        <v>18</v>
      </c>
      <c r="D31" s="5" t="s">
        <v>10</v>
      </c>
      <c r="E31" s="5" t="s">
        <v>3</v>
      </c>
      <c r="F31" s="5">
        <v>5</v>
      </c>
      <c r="G31" s="5">
        <v>5</v>
      </c>
      <c r="H31" s="15">
        <v>2</v>
      </c>
      <c r="I31" s="5"/>
      <c r="J31" s="15">
        <v>21</v>
      </c>
      <c r="K31" s="15">
        <v>20.8</v>
      </c>
      <c r="L31" s="15">
        <v>16</v>
      </c>
      <c r="M31" s="5"/>
    </row>
    <row r="32" spans="1:13" hidden="1" x14ac:dyDescent="0.3">
      <c r="A32" s="5">
        <v>31</v>
      </c>
      <c r="B32" s="5" t="s">
        <v>7</v>
      </c>
      <c r="C32" s="5" t="s">
        <v>18</v>
      </c>
      <c r="D32" s="5" t="s">
        <v>10</v>
      </c>
      <c r="E32" s="5" t="s">
        <v>3</v>
      </c>
      <c r="F32" s="5">
        <v>5</v>
      </c>
      <c r="G32" s="5">
        <v>3</v>
      </c>
      <c r="H32" s="15">
        <v>2</v>
      </c>
      <c r="I32" s="5"/>
      <c r="J32" s="5">
        <v>11.5</v>
      </c>
      <c r="K32" s="5">
        <v>9</v>
      </c>
      <c r="L32" s="15">
        <v>16</v>
      </c>
      <c r="M32" s="5"/>
    </row>
    <row r="33" spans="1:13" x14ac:dyDescent="0.3">
      <c r="A33" s="5">
        <v>32</v>
      </c>
      <c r="B33" s="5" t="s">
        <v>5</v>
      </c>
      <c r="C33" s="5" t="s">
        <v>18</v>
      </c>
      <c r="D33" s="5" t="s">
        <v>11</v>
      </c>
      <c r="E33" s="5" t="s">
        <v>3</v>
      </c>
      <c r="F33" s="5">
        <v>5</v>
      </c>
      <c r="G33" s="5">
        <v>10</v>
      </c>
      <c r="H33" s="15">
        <v>2</v>
      </c>
      <c r="I33" s="5"/>
      <c r="J33" s="5">
        <v>83</v>
      </c>
      <c r="K33" s="5">
        <v>69</v>
      </c>
      <c r="L33" s="5">
        <v>21</v>
      </c>
      <c r="M33" s="5">
        <v>3</v>
      </c>
    </row>
    <row r="34" spans="1:13" x14ac:dyDescent="0.3">
      <c r="A34" s="5">
        <v>33</v>
      </c>
      <c r="B34" s="5" t="s">
        <v>6</v>
      </c>
      <c r="C34" s="5" t="s">
        <v>18</v>
      </c>
      <c r="D34" s="5" t="s">
        <v>11</v>
      </c>
      <c r="E34" s="5" t="s">
        <v>3</v>
      </c>
      <c r="F34" s="5">
        <v>4</v>
      </c>
      <c r="G34" s="5">
        <v>6</v>
      </c>
      <c r="H34" s="15">
        <v>2</v>
      </c>
      <c r="I34" s="5"/>
      <c r="J34" s="5">
        <v>50</v>
      </c>
      <c r="K34" s="5">
        <v>27</v>
      </c>
      <c r="L34" s="5">
        <v>21</v>
      </c>
      <c r="M34" s="5">
        <v>2</v>
      </c>
    </row>
    <row r="35" spans="1:13" x14ac:dyDescent="0.3">
      <c r="A35" s="5">
        <v>34</v>
      </c>
      <c r="B35" s="5" t="s">
        <v>5</v>
      </c>
      <c r="C35" s="5" t="s">
        <v>18</v>
      </c>
      <c r="D35" s="5" t="s">
        <v>11</v>
      </c>
      <c r="E35" s="5" t="s">
        <v>3</v>
      </c>
      <c r="F35" s="5">
        <v>4</v>
      </c>
      <c r="G35" s="5">
        <v>10</v>
      </c>
      <c r="H35" s="15">
        <v>2</v>
      </c>
      <c r="I35" s="5"/>
      <c r="J35" s="5">
        <v>83</v>
      </c>
      <c r="K35" s="5">
        <v>69</v>
      </c>
      <c r="L35" s="5">
        <v>21</v>
      </c>
      <c r="M35" s="5">
        <v>3</v>
      </c>
    </row>
    <row r="36" spans="1:13" x14ac:dyDescent="0.3">
      <c r="A36" s="5">
        <v>35</v>
      </c>
      <c r="B36" s="5" t="s">
        <v>6</v>
      </c>
      <c r="C36" s="5" t="s">
        <v>18</v>
      </c>
      <c r="D36" s="5" t="s">
        <v>11</v>
      </c>
      <c r="E36" s="5" t="s">
        <v>3</v>
      </c>
      <c r="F36" s="5">
        <v>4</v>
      </c>
      <c r="G36" s="5">
        <v>6</v>
      </c>
      <c r="H36" s="15">
        <v>2</v>
      </c>
      <c r="I36" s="5"/>
      <c r="J36" s="5">
        <v>50</v>
      </c>
      <c r="K36" s="5">
        <v>27</v>
      </c>
      <c r="L36" s="5">
        <v>21</v>
      </c>
      <c r="M36" s="5">
        <v>2</v>
      </c>
    </row>
    <row r="37" spans="1:13" x14ac:dyDescent="0.3">
      <c r="A37" s="5">
        <v>36</v>
      </c>
      <c r="B37" s="5" t="s">
        <v>6</v>
      </c>
      <c r="C37" s="5" t="s">
        <v>18</v>
      </c>
      <c r="D37" s="5" t="s">
        <v>11</v>
      </c>
      <c r="E37" s="5" t="s">
        <v>3</v>
      </c>
      <c r="F37" s="5">
        <v>4</v>
      </c>
      <c r="G37" s="5">
        <v>6</v>
      </c>
      <c r="H37" s="15">
        <v>2</v>
      </c>
      <c r="I37" s="5"/>
      <c r="J37" s="5">
        <v>50</v>
      </c>
      <c r="K37" s="5">
        <v>27</v>
      </c>
      <c r="L37" s="5">
        <v>21</v>
      </c>
      <c r="M37" s="5">
        <v>2</v>
      </c>
    </row>
    <row r="38" spans="1:13" x14ac:dyDescent="0.3">
      <c r="A38" s="5">
        <v>37</v>
      </c>
      <c r="B38" s="5" t="s">
        <v>6</v>
      </c>
      <c r="C38" s="5" t="s">
        <v>18</v>
      </c>
      <c r="D38" s="5" t="s">
        <v>11</v>
      </c>
      <c r="E38" s="5" t="s">
        <v>3</v>
      </c>
      <c r="F38" s="5">
        <v>4</v>
      </c>
      <c r="G38" s="5">
        <v>6</v>
      </c>
      <c r="H38" s="15">
        <v>2</v>
      </c>
      <c r="I38" s="5"/>
      <c r="J38" s="5">
        <v>50</v>
      </c>
      <c r="K38" s="5">
        <v>27</v>
      </c>
      <c r="L38" s="5">
        <v>21</v>
      </c>
      <c r="M38" s="5">
        <v>2</v>
      </c>
    </row>
    <row r="39" spans="1:13" x14ac:dyDescent="0.3">
      <c r="A39" s="5">
        <v>38</v>
      </c>
      <c r="B39" s="5" t="s">
        <v>6</v>
      </c>
      <c r="C39" s="5" t="s">
        <v>18</v>
      </c>
      <c r="D39" s="5" t="s">
        <v>11</v>
      </c>
      <c r="E39" s="5" t="s">
        <v>3</v>
      </c>
      <c r="F39" s="5">
        <v>4</v>
      </c>
      <c r="G39" s="5">
        <v>6</v>
      </c>
      <c r="H39" s="15">
        <v>2</v>
      </c>
      <c r="I39" s="5"/>
      <c r="J39" s="5">
        <v>50</v>
      </c>
      <c r="K39" s="5">
        <v>27</v>
      </c>
      <c r="L39" s="5">
        <v>21</v>
      </c>
      <c r="M39" s="5">
        <v>2</v>
      </c>
    </row>
    <row r="40" spans="1:13" hidden="1" x14ac:dyDescent="0.3">
      <c r="A40" s="5">
        <v>39</v>
      </c>
      <c r="B40" s="5" t="s">
        <v>4</v>
      </c>
      <c r="C40" s="5" t="s">
        <v>18</v>
      </c>
      <c r="D40" s="5" t="s">
        <v>10</v>
      </c>
      <c r="E40" s="5" t="s">
        <v>3</v>
      </c>
      <c r="F40" s="5">
        <v>4</v>
      </c>
      <c r="G40" s="5">
        <v>5</v>
      </c>
      <c r="H40" s="15">
        <v>2</v>
      </c>
      <c r="I40" s="5"/>
      <c r="J40" s="15">
        <v>21</v>
      </c>
      <c r="K40" s="15">
        <v>20.8</v>
      </c>
      <c r="L40" s="15">
        <v>16</v>
      </c>
      <c r="M40" s="5"/>
    </row>
    <row r="41" spans="1:13" x14ac:dyDescent="0.3">
      <c r="A41" s="5">
        <v>40</v>
      </c>
      <c r="B41" s="5" t="s">
        <v>6</v>
      </c>
      <c r="C41" s="5" t="s">
        <v>18</v>
      </c>
      <c r="D41" s="5" t="s">
        <v>11</v>
      </c>
      <c r="E41" s="5" t="s">
        <v>3</v>
      </c>
      <c r="F41" s="5">
        <v>3</v>
      </c>
      <c r="G41" s="5">
        <v>6</v>
      </c>
      <c r="H41" s="15">
        <v>2</v>
      </c>
      <c r="I41" s="5"/>
      <c r="J41" s="5">
        <v>50</v>
      </c>
      <c r="K41" s="5">
        <v>27</v>
      </c>
      <c r="L41" s="5">
        <v>21</v>
      </c>
      <c r="M41" s="5">
        <v>2</v>
      </c>
    </row>
    <row r="42" spans="1:13" x14ac:dyDescent="0.3">
      <c r="A42" s="5">
        <v>41</v>
      </c>
      <c r="B42" s="5" t="s">
        <v>5</v>
      </c>
      <c r="C42" s="5" t="s">
        <v>18</v>
      </c>
      <c r="D42" s="5" t="s">
        <v>11</v>
      </c>
      <c r="E42" s="5" t="s">
        <v>3</v>
      </c>
      <c r="F42" s="5">
        <v>3</v>
      </c>
      <c r="G42" s="5">
        <v>10</v>
      </c>
      <c r="H42" s="15">
        <v>2</v>
      </c>
      <c r="I42" s="5"/>
      <c r="J42" s="5">
        <v>83</v>
      </c>
      <c r="K42" s="5">
        <v>69</v>
      </c>
      <c r="L42" s="5">
        <v>21</v>
      </c>
      <c r="M42" s="5">
        <v>3</v>
      </c>
    </row>
    <row r="43" spans="1:13" x14ac:dyDescent="0.3">
      <c r="A43" s="5">
        <v>42</v>
      </c>
      <c r="B43" s="5" t="s">
        <v>5</v>
      </c>
      <c r="C43" s="5" t="s">
        <v>18</v>
      </c>
      <c r="D43" s="5" t="s">
        <v>11</v>
      </c>
      <c r="E43" s="5" t="s">
        <v>3</v>
      </c>
      <c r="F43" s="5">
        <v>3</v>
      </c>
      <c r="G43" s="5">
        <v>10</v>
      </c>
      <c r="H43" s="15">
        <v>2</v>
      </c>
      <c r="I43" s="5"/>
      <c r="J43" s="5">
        <v>83</v>
      </c>
      <c r="K43" s="5">
        <v>69</v>
      </c>
      <c r="L43" s="5">
        <v>21</v>
      </c>
      <c r="M43" s="5">
        <v>3</v>
      </c>
    </row>
    <row r="44" spans="1:13" x14ac:dyDescent="0.3">
      <c r="A44" s="5">
        <v>43</v>
      </c>
      <c r="B44" s="5" t="s">
        <v>5</v>
      </c>
      <c r="C44" s="5" t="s">
        <v>18</v>
      </c>
      <c r="D44" s="5" t="s">
        <v>11</v>
      </c>
      <c r="E44" s="5" t="s">
        <v>3</v>
      </c>
      <c r="F44" s="5">
        <v>3</v>
      </c>
      <c r="G44" s="5">
        <v>10</v>
      </c>
      <c r="H44" s="15">
        <v>2</v>
      </c>
      <c r="I44" s="5"/>
      <c r="J44" s="5">
        <v>83</v>
      </c>
      <c r="K44" s="5">
        <v>69</v>
      </c>
      <c r="L44" s="5">
        <v>21</v>
      </c>
      <c r="M44" s="5">
        <v>3</v>
      </c>
    </row>
    <row r="45" spans="1:13" hidden="1" x14ac:dyDescent="0.3">
      <c r="A45" s="5">
        <v>44</v>
      </c>
      <c r="B45" s="5" t="s">
        <v>4</v>
      </c>
      <c r="C45" s="5" t="s">
        <v>18</v>
      </c>
      <c r="D45" s="5" t="s">
        <v>10</v>
      </c>
      <c r="E45" s="5" t="s">
        <v>3</v>
      </c>
      <c r="F45" s="5">
        <v>3</v>
      </c>
      <c r="G45" s="5">
        <v>5</v>
      </c>
      <c r="H45" s="15">
        <v>2</v>
      </c>
      <c r="I45" s="5"/>
      <c r="J45" s="15">
        <v>21</v>
      </c>
      <c r="K45" s="15">
        <v>20.8</v>
      </c>
      <c r="L45" s="15">
        <v>16</v>
      </c>
      <c r="M45" s="5"/>
    </row>
    <row r="46" spans="1:13" x14ac:dyDescent="0.3">
      <c r="A46" s="5">
        <v>45</v>
      </c>
      <c r="B46" s="5" t="s">
        <v>5</v>
      </c>
      <c r="C46" s="5" t="s">
        <v>18</v>
      </c>
      <c r="D46" s="5" t="s">
        <v>11</v>
      </c>
      <c r="E46" s="5" t="s">
        <v>3</v>
      </c>
      <c r="F46" s="5">
        <v>3</v>
      </c>
      <c r="G46" s="5">
        <v>10</v>
      </c>
      <c r="H46" s="15">
        <v>2</v>
      </c>
      <c r="I46" s="5"/>
      <c r="J46" s="5">
        <v>83</v>
      </c>
      <c r="K46" s="5">
        <v>69</v>
      </c>
      <c r="L46" s="5">
        <v>21</v>
      </c>
      <c r="M46" s="5">
        <v>3</v>
      </c>
    </row>
    <row r="47" spans="1:13" x14ac:dyDescent="0.3">
      <c r="A47" s="5">
        <v>46</v>
      </c>
      <c r="B47" s="5" t="s">
        <v>5</v>
      </c>
      <c r="C47" s="5" t="s">
        <v>18</v>
      </c>
      <c r="D47" s="5" t="s">
        <v>11</v>
      </c>
      <c r="E47" s="5" t="s">
        <v>3</v>
      </c>
      <c r="F47" s="5">
        <v>3</v>
      </c>
      <c r="G47" s="5">
        <v>10</v>
      </c>
      <c r="H47" s="15">
        <v>2</v>
      </c>
      <c r="I47" s="5"/>
      <c r="J47" s="5">
        <v>83</v>
      </c>
      <c r="K47" s="5">
        <v>69</v>
      </c>
      <c r="L47" s="5">
        <v>21</v>
      </c>
      <c r="M47" s="5">
        <v>3</v>
      </c>
    </row>
    <row r="48" spans="1:13" x14ac:dyDescent="0.3">
      <c r="A48" s="5">
        <v>47</v>
      </c>
      <c r="B48" s="5" t="s">
        <v>5</v>
      </c>
      <c r="C48" s="5" t="s">
        <v>18</v>
      </c>
      <c r="D48" s="5" t="s">
        <v>11</v>
      </c>
      <c r="E48" s="5" t="s">
        <v>3</v>
      </c>
      <c r="F48" s="5">
        <v>3</v>
      </c>
      <c r="G48" s="5">
        <v>10</v>
      </c>
      <c r="H48" s="15">
        <v>2</v>
      </c>
      <c r="I48" s="5"/>
      <c r="J48" s="5">
        <v>83</v>
      </c>
      <c r="K48" s="5">
        <v>69</v>
      </c>
      <c r="L48" s="5">
        <v>21</v>
      </c>
      <c r="M48" s="5">
        <v>3</v>
      </c>
    </row>
    <row r="49" spans="1:13" x14ac:dyDescent="0.3">
      <c r="A49" s="5">
        <v>48</v>
      </c>
      <c r="B49" s="5" t="s">
        <v>6</v>
      </c>
      <c r="C49" s="5" t="s">
        <v>18</v>
      </c>
      <c r="D49" s="5" t="s">
        <v>11</v>
      </c>
      <c r="E49" s="5" t="s">
        <v>3</v>
      </c>
      <c r="F49" s="5">
        <v>4</v>
      </c>
      <c r="G49" s="5">
        <v>6</v>
      </c>
      <c r="H49" s="15">
        <v>2</v>
      </c>
      <c r="I49" s="5"/>
      <c r="J49" s="5">
        <v>50</v>
      </c>
      <c r="K49" s="5">
        <v>27</v>
      </c>
      <c r="L49" s="5">
        <v>21</v>
      </c>
      <c r="M49" s="5">
        <v>2</v>
      </c>
    </row>
    <row r="50" spans="1:13" x14ac:dyDescent="0.3">
      <c r="A50" s="5">
        <v>49</v>
      </c>
      <c r="B50" s="5" t="s">
        <v>5</v>
      </c>
      <c r="C50" s="5" t="s">
        <v>18</v>
      </c>
      <c r="D50" s="5" t="s">
        <v>11</v>
      </c>
      <c r="E50" s="5" t="s">
        <v>3</v>
      </c>
      <c r="F50" s="5">
        <v>4</v>
      </c>
      <c r="G50" s="5">
        <v>10</v>
      </c>
      <c r="H50" s="15">
        <v>2</v>
      </c>
      <c r="I50" s="5"/>
      <c r="J50" s="5">
        <v>83</v>
      </c>
      <c r="K50" s="5">
        <v>69</v>
      </c>
      <c r="L50" s="5">
        <v>21</v>
      </c>
      <c r="M50" s="5">
        <v>3</v>
      </c>
    </row>
    <row r="51" spans="1:13" x14ac:dyDescent="0.3">
      <c r="A51" s="5">
        <v>50</v>
      </c>
      <c r="B51" s="5" t="s">
        <v>5</v>
      </c>
      <c r="C51" s="5" t="s">
        <v>18</v>
      </c>
      <c r="D51" s="5" t="s">
        <v>11</v>
      </c>
      <c r="E51" s="5" t="s">
        <v>3</v>
      </c>
      <c r="F51" s="5">
        <v>4</v>
      </c>
      <c r="G51" s="5">
        <v>10</v>
      </c>
      <c r="H51" s="15">
        <v>2</v>
      </c>
      <c r="I51" s="5"/>
      <c r="J51" s="5">
        <v>83</v>
      </c>
      <c r="K51" s="5">
        <v>69</v>
      </c>
      <c r="L51" s="5">
        <v>21</v>
      </c>
      <c r="M51" s="5">
        <v>3</v>
      </c>
    </row>
    <row r="52" spans="1:13" x14ac:dyDescent="0.3">
      <c r="A52" s="5">
        <v>51</v>
      </c>
      <c r="B52" s="5" t="s">
        <v>6</v>
      </c>
      <c r="C52" s="5" t="s">
        <v>18</v>
      </c>
      <c r="D52" s="5" t="s">
        <v>11</v>
      </c>
      <c r="E52" s="5" t="s">
        <v>3</v>
      </c>
      <c r="F52" s="5">
        <v>4</v>
      </c>
      <c r="G52" s="5">
        <v>6</v>
      </c>
      <c r="H52" s="15">
        <v>2</v>
      </c>
      <c r="I52" s="5"/>
      <c r="J52" s="5">
        <v>50</v>
      </c>
      <c r="K52" s="5">
        <v>27</v>
      </c>
      <c r="L52" s="5">
        <v>21</v>
      </c>
      <c r="M52" s="5">
        <v>2</v>
      </c>
    </row>
    <row r="53" spans="1:13" hidden="1" x14ac:dyDescent="0.3">
      <c r="A53" s="5">
        <v>52</v>
      </c>
      <c r="B53" s="5" t="s">
        <v>4</v>
      </c>
      <c r="C53" s="5" t="s">
        <v>18</v>
      </c>
      <c r="D53" s="5" t="s">
        <v>10</v>
      </c>
      <c r="E53" s="5" t="s">
        <v>3</v>
      </c>
      <c r="F53" s="5">
        <v>4</v>
      </c>
      <c r="G53" s="5">
        <v>5</v>
      </c>
      <c r="H53" s="15">
        <v>2</v>
      </c>
      <c r="I53" s="5"/>
      <c r="J53" s="15">
        <v>21</v>
      </c>
      <c r="K53" s="15">
        <v>20.8</v>
      </c>
      <c r="L53" s="15">
        <v>16</v>
      </c>
      <c r="M53" s="5"/>
    </row>
    <row r="54" spans="1:13" hidden="1" x14ac:dyDescent="0.3">
      <c r="A54" s="5">
        <v>53</v>
      </c>
      <c r="B54" s="5" t="s">
        <v>4</v>
      </c>
      <c r="C54" s="5" t="s">
        <v>18</v>
      </c>
      <c r="D54" s="5" t="s">
        <v>10</v>
      </c>
      <c r="E54" s="5" t="s">
        <v>3</v>
      </c>
      <c r="F54" s="5">
        <v>4</v>
      </c>
      <c r="G54" s="5">
        <v>5</v>
      </c>
      <c r="H54" s="15">
        <v>2</v>
      </c>
      <c r="I54" s="5"/>
      <c r="J54" s="15">
        <v>21</v>
      </c>
      <c r="K54" s="15">
        <v>20.8</v>
      </c>
      <c r="L54" s="15">
        <v>16</v>
      </c>
      <c r="M54" s="5"/>
    </row>
    <row r="55" spans="1:13" hidden="1" x14ac:dyDescent="0.3">
      <c r="A55" s="5">
        <v>54</v>
      </c>
      <c r="B55" s="5" t="s">
        <v>7</v>
      </c>
      <c r="C55" s="5" t="s">
        <v>18</v>
      </c>
      <c r="D55" s="5" t="s">
        <v>10</v>
      </c>
      <c r="E55" s="5" t="s">
        <v>3</v>
      </c>
      <c r="F55" s="5">
        <v>4</v>
      </c>
      <c r="G55" s="5">
        <v>3</v>
      </c>
      <c r="H55" s="15">
        <v>2</v>
      </c>
      <c r="I55" s="5"/>
      <c r="J55" s="5">
        <v>11.5</v>
      </c>
      <c r="K55" s="5">
        <v>9</v>
      </c>
      <c r="L55" s="15">
        <v>16</v>
      </c>
      <c r="M55" s="5"/>
    </row>
    <row r="56" spans="1:13" x14ac:dyDescent="0.3">
      <c r="A56" s="5">
        <v>55</v>
      </c>
      <c r="B56" s="5" t="s">
        <v>5</v>
      </c>
      <c r="C56" s="5" t="s">
        <v>18</v>
      </c>
      <c r="D56" s="5" t="s">
        <v>11</v>
      </c>
      <c r="E56" s="5" t="s">
        <v>3</v>
      </c>
      <c r="F56" s="5">
        <v>4</v>
      </c>
      <c r="G56" s="5">
        <v>10</v>
      </c>
      <c r="H56" s="15">
        <v>2</v>
      </c>
      <c r="I56" s="5"/>
      <c r="J56" s="5">
        <v>83</v>
      </c>
      <c r="K56" s="5">
        <v>69</v>
      </c>
      <c r="L56" s="5">
        <v>21</v>
      </c>
      <c r="M56" s="5">
        <v>3</v>
      </c>
    </row>
    <row r="57" spans="1:13" x14ac:dyDescent="0.3">
      <c r="A57" s="5">
        <v>56</v>
      </c>
      <c r="B57" s="5" t="s">
        <v>5</v>
      </c>
      <c r="C57" s="5" t="s">
        <v>18</v>
      </c>
      <c r="D57" s="5" t="s">
        <v>11</v>
      </c>
      <c r="E57" s="5" t="s">
        <v>3</v>
      </c>
      <c r="F57" s="5">
        <v>4</v>
      </c>
      <c r="G57" s="5">
        <v>10</v>
      </c>
      <c r="H57" s="15">
        <v>2</v>
      </c>
      <c r="I57" s="5"/>
      <c r="J57" s="5">
        <v>83</v>
      </c>
      <c r="K57" s="5">
        <v>69</v>
      </c>
      <c r="L57" s="5">
        <v>21</v>
      </c>
      <c r="M57" s="5">
        <v>3</v>
      </c>
    </row>
    <row r="58" spans="1:13" x14ac:dyDescent="0.3">
      <c r="A58" s="5">
        <v>57</v>
      </c>
      <c r="B58" s="5" t="s">
        <v>6</v>
      </c>
      <c r="C58" s="5" t="s">
        <v>18</v>
      </c>
      <c r="D58" s="5" t="s">
        <v>11</v>
      </c>
      <c r="E58" s="5" t="s">
        <v>3</v>
      </c>
      <c r="F58" s="5">
        <v>4</v>
      </c>
      <c r="G58" s="5">
        <v>6</v>
      </c>
      <c r="H58" s="15">
        <v>2</v>
      </c>
      <c r="I58" s="5"/>
      <c r="J58" s="5">
        <v>50</v>
      </c>
      <c r="K58" s="5">
        <v>27</v>
      </c>
      <c r="L58" s="5">
        <v>21</v>
      </c>
      <c r="M58" s="5">
        <v>2</v>
      </c>
    </row>
    <row r="59" spans="1:13" x14ac:dyDescent="0.3">
      <c r="A59" s="5">
        <v>58</v>
      </c>
      <c r="B59" s="5" t="s">
        <v>6</v>
      </c>
      <c r="C59" s="5" t="s">
        <v>18</v>
      </c>
      <c r="D59" s="5" t="s">
        <v>11</v>
      </c>
      <c r="E59" s="5" t="s">
        <v>3</v>
      </c>
      <c r="F59" s="5">
        <v>5</v>
      </c>
      <c r="G59" s="5">
        <v>6</v>
      </c>
      <c r="H59" s="15">
        <v>2</v>
      </c>
      <c r="I59" s="5"/>
      <c r="J59" s="5">
        <v>50</v>
      </c>
      <c r="K59" s="5">
        <v>27</v>
      </c>
      <c r="L59" s="5">
        <v>21</v>
      </c>
      <c r="M59" s="5">
        <v>2</v>
      </c>
    </row>
    <row r="60" spans="1:13" x14ac:dyDescent="0.3">
      <c r="A60" s="5">
        <v>59</v>
      </c>
      <c r="B60" s="5" t="s">
        <v>5</v>
      </c>
      <c r="C60" s="5" t="s">
        <v>18</v>
      </c>
      <c r="D60" s="5" t="s">
        <v>11</v>
      </c>
      <c r="E60" s="5" t="s">
        <v>3</v>
      </c>
      <c r="F60" s="5">
        <v>5</v>
      </c>
      <c r="G60" s="5">
        <v>10</v>
      </c>
      <c r="H60" s="15">
        <v>2</v>
      </c>
      <c r="I60" s="5"/>
      <c r="J60" s="5">
        <v>83</v>
      </c>
      <c r="K60" s="5">
        <v>69</v>
      </c>
      <c r="L60" s="5">
        <v>21</v>
      </c>
      <c r="M60" s="5">
        <v>3</v>
      </c>
    </row>
    <row r="61" spans="1:13" x14ac:dyDescent="0.3">
      <c r="A61" s="5">
        <v>60</v>
      </c>
      <c r="B61" s="5" t="s">
        <v>6</v>
      </c>
      <c r="C61" s="5" t="s">
        <v>18</v>
      </c>
      <c r="D61" s="5" t="s">
        <v>11</v>
      </c>
      <c r="E61" s="5" t="s">
        <v>3</v>
      </c>
      <c r="F61" s="5">
        <v>4</v>
      </c>
      <c r="G61" s="5">
        <v>6</v>
      </c>
      <c r="H61" s="15">
        <v>2</v>
      </c>
      <c r="I61" s="5"/>
      <c r="J61" s="5">
        <v>50</v>
      </c>
      <c r="K61" s="5">
        <v>27</v>
      </c>
      <c r="L61" s="5">
        <v>21</v>
      </c>
      <c r="M61" s="5">
        <v>2</v>
      </c>
    </row>
    <row r="62" spans="1:13" x14ac:dyDescent="0.3">
      <c r="A62" s="5">
        <v>61</v>
      </c>
      <c r="B62" s="5" t="s">
        <v>5</v>
      </c>
      <c r="C62" s="5" t="s">
        <v>18</v>
      </c>
      <c r="D62" s="5" t="s">
        <v>11</v>
      </c>
      <c r="E62" s="5" t="s">
        <v>3</v>
      </c>
      <c r="F62" s="5">
        <v>5</v>
      </c>
      <c r="G62" s="5">
        <v>10</v>
      </c>
      <c r="H62" s="15">
        <v>2</v>
      </c>
      <c r="I62" s="5"/>
      <c r="J62" s="5">
        <v>83</v>
      </c>
      <c r="K62" s="5">
        <v>69</v>
      </c>
      <c r="L62" s="5">
        <v>21</v>
      </c>
      <c r="M62" s="5">
        <v>3</v>
      </c>
    </row>
    <row r="63" spans="1:13" x14ac:dyDescent="0.3">
      <c r="A63" s="5">
        <v>62</v>
      </c>
      <c r="B63" s="5" t="s">
        <v>6</v>
      </c>
      <c r="C63" s="5" t="s">
        <v>18</v>
      </c>
      <c r="D63" s="5" t="s">
        <v>11</v>
      </c>
      <c r="E63" s="5" t="s">
        <v>3</v>
      </c>
      <c r="F63" s="5">
        <v>5</v>
      </c>
      <c r="G63" s="5">
        <v>6</v>
      </c>
      <c r="H63" s="15">
        <v>2</v>
      </c>
      <c r="I63" s="5"/>
      <c r="J63" s="5">
        <v>50</v>
      </c>
      <c r="K63" s="5">
        <v>27</v>
      </c>
      <c r="L63" s="5">
        <v>21</v>
      </c>
      <c r="M63" s="5">
        <v>2</v>
      </c>
    </row>
    <row r="64" spans="1:13" hidden="1" x14ac:dyDescent="0.3">
      <c r="A64" s="5">
        <v>63</v>
      </c>
      <c r="B64" s="5" t="s">
        <v>4</v>
      </c>
      <c r="C64" s="5" t="s">
        <v>18</v>
      </c>
      <c r="D64" s="5" t="s">
        <v>10</v>
      </c>
      <c r="E64" s="5" t="s">
        <v>3</v>
      </c>
      <c r="F64" s="5">
        <v>6</v>
      </c>
      <c r="G64" s="5">
        <v>5</v>
      </c>
      <c r="H64" s="5">
        <v>1</v>
      </c>
      <c r="I64" s="5"/>
      <c r="J64" s="15">
        <v>21</v>
      </c>
      <c r="K64" s="15">
        <v>20.8</v>
      </c>
      <c r="L64" s="15">
        <v>16</v>
      </c>
      <c r="M64" s="5"/>
    </row>
    <row r="65" spans="1:13" x14ac:dyDescent="0.3">
      <c r="A65" s="5">
        <v>64</v>
      </c>
      <c r="B65" s="5" t="s">
        <v>5</v>
      </c>
      <c r="C65" s="5" t="s">
        <v>18</v>
      </c>
      <c r="D65" s="5" t="s">
        <v>11</v>
      </c>
      <c r="E65" s="5" t="s">
        <v>3</v>
      </c>
      <c r="F65" s="5">
        <v>6</v>
      </c>
      <c r="G65" s="5">
        <v>10</v>
      </c>
      <c r="H65" s="5">
        <v>1</v>
      </c>
      <c r="I65" s="5"/>
      <c r="J65" s="5">
        <v>83</v>
      </c>
      <c r="K65" s="5">
        <v>69</v>
      </c>
      <c r="L65" s="5">
        <v>21</v>
      </c>
      <c r="M65" s="5">
        <v>3</v>
      </c>
    </row>
    <row r="66" spans="1:13" x14ac:dyDescent="0.3">
      <c r="A66" s="5">
        <v>65</v>
      </c>
      <c r="B66" s="5" t="s">
        <v>5</v>
      </c>
      <c r="C66" s="5" t="s">
        <v>18</v>
      </c>
      <c r="D66" s="5" t="s">
        <v>11</v>
      </c>
      <c r="E66" s="5" t="s">
        <v>3</v>
      </c>
      <c r="F66" s="5">
        <v>6</v>
      </c>
      <c r="G66" s="5">
        <v>10</v>
      </c>
      <c r="H66" s="5">
        <v>1</v>
      </c>
      <c r="I66" s="5"/>
      <c r="J66" s="5">
        <v>83</v>
      </c>
      <c r="K66" s="5">
        <v>69</v>
      </c>
      <c r="L66" s="5">
        <v>21</v>
      </c>
      <c r="M66" s="5">
        <v>3</v>
      </c>
    </row>
    <row r="67" spans="1:13" hidden="1" x14ac:dyDescent="0.3">
      <c r="A67" s="5">
        <v>66</v>
      </c>
      <c r="B67" s="5" t="s">
        <v>4</v>
      </c>
      <c r="C67" s="5" t="s">
        <v>18</v>
      </c>
      <c r="D67" s="5" t="s">
        <v>10</v>
      </c>
      <c r="E67" s="5" t="s">
        <v>3</v>
      </c>
      <c r="F67" s="5">
        <v>6</v>
      </c>
      <c r="G67" s="5">
        <v>5</v>
      </c>
      <c r="H67" s="5">
        <v>1</v>
      </c>
      <c r="I67" s="5"/>
      <c r="J67" s="15">
        <v>21</v>
      </c>
      <c r="K67" s="15">
        <v>20.8</v>
      </c>
      <c r="L67" s="15">
        <v>16</v>
      </c>
      <c r="M67" s="5"/>
    </row>
    <row r="68" spans="1:13" x14ac:dyDescent="0.3">
      <c r="A68" s="5">
        <v>67</v>
      </c>
      <c r="B68" s="5" t="s">
        <v>5</v>
      </c>
      <c r="C68" s="5" t="s">
        <v>18</v>
      </c>
      <c r="D68" s="5" t="s">
        <v>11</v>
      </c>
      <c r="E68" s="5" t="s">
        <v>3</v>
      </c>
      <c r="F68" s="5">
        <v>6</v>
      </c>
      <c r="G68" s="5">
        <v>10</v>
      </c>
      <c r="H68" s="5">
        <v>1</v>
      </c>
      <c r="I68" s="5"/>
      <c r="J68" s="5">
        <v>83</v>
      </c>
      <c r="K68" s="5">
        <v>69</v>
      </c>
      <c r="L68" s="5">
        <v>21</v>
      </c>
      <c r="M68" s="5">
        <v>3</v>
      </c>
    </row>
    <row r="69" spans="1:13" hidden="1" x14ac:dyDescent="0.3">
      <c r="A69" s="5">
        <v>68</v>
      </c>
      <c r="B69" s="5" t="s">
        <v>4</v>
      </c>
      <c r="C69" s="5" t="s">
        <v>18</v>
      </c>
      <c r="D69" s="5" t="s">
        <v>10</v>
      </c>
      <c r="E69" s="5" t="s">
        <v>3</v>
      </c>
      <c r="F69" s="5">
        <v>6</v>
      </c>
      <c r="G69" s="5">
        <v>5</v>
      </c>
      <c r="H69" s="5">
        <v>1</v>
      </c>
      <c r="I69" s="5"/>
      <c r="J69" s="15">
        <v>21</v>
      </c>
      <c r="K69" s="15">
        <v>20.8</v>
      </c>
      <c r="L69" s="15">
        <v>16</v>
      </c>
      <c r="M69" s="5"/>
    </row>
    <row r="70" spans="1:13" x14ac:dyDescent="0.3">
      <c r="A70" s="5">
        <v>69</v>
      </c>
      <c r="B70" s="5" t="s">
        <v>5</v>
      </c>
      <c r="C70" s="5" t="s">
        <v>18</v>
      </c>
      <c r="D70" s="5" t="s">
        <v>11</v>
      </c>
      <c r="E70" s="5" t="s">
        <v>3</v>
      </c>
      <c r="F70" s="5">
        <v>6</v>
      </c>
      <c r="G70" s="5">
        <v>10</v>
      </c>
      <c r="H70" s="5">
        <v>1</v>
      </c>
      <c r="I70" s="5"/>
      <c r="J70" s="5">
        <v>83</v>
      </c>
      <c r="K70" s="5">
        <v>69</v>
      </c>
      <c r="L70" s="5">
        <v>21</v>
      </c>
      <c r="M70" s="5">
        <v>3</v>
      </c>
    </row>
    <row r="71" spans="1:13" hidden="1" x14ac:dyDescent="0.3">
      <c r="A71" s="5">
        <v>70</v>
      </c>
      <c r="B71" s="5" t="s">
        <v>4</v>
      </c>
      <c r="C71" s="5" t="s">
        <v>18</v>
      </c>
      <c r="D71" s="5" t="s">
        <v>10</v>
      </c>
      <c r="E71" s="5" t="s">
        <v>3</v>
      </c>
      <c r="F71" s="5">
        <v>2</v>
      </c>
      <c r="G71" s="5">
        <v>5</v>
      </c>
      <c r="H71" s="5">
        <v>1</v>
      </c>
      <c r="I71" s="5"/>
      <c r="J71" s="15">
        <v>21</v>
      </c>
      <c r="K71" s="15">
        <v>20.8</v>
      </c>
      <c r="L71" s="15">
        <v>16</v>
      </c>
      <c r="M71" s="5"/>
    </row>
    <row r="72" spans="1:13" hidden="1" x14ac:dyDescent="0.3">
      <c r="A72" s="5">
        <v>71</v>
      </c>
      <c r="B72" s="5" t="s">
        <v>4</v>
      </c>
      <c r="C72" s="5" t="s">
        <v>18</v>
      </c>
      <c r="D72" s="5" t="s">
        <v>10</v>
      </c>
      <c r="E72" s="5" t="s">
        <v>3</v>
      </c>
      <c r="F72" s="5">
        <v>2</v>
      </c>
      <c r="G72" s="5">
        <v>5</v>
      </c>
      <c r="H72" s="5">
        <v>1</v>
      </c>
      <c r="I72" s="5"/>
      <c r="J72" s="15">
        <v>21</v>
      </c>
      <c r="K72" s="15">
        <v>20.8</v>
      </c>
      <c r="L72" s="15">
        <v>16</v>
      </c>
      <c r="M72" s="5"/>
    </row>
    <row r="73" spans="1:13" hidden="1" x14ac:dyDescent="0.3">
      <c r="A73" s="5">
        <v>72</v>
      </c>
      <c r="B73" s="5" t="s">
        <v>4</v>
      </c>
      <c r="C73" s="5" t="s">
        <v>18</v>
      </c>
      <c r="D73" s="5" t="s">
        <v>10</v>
      </c>
      <c r="E73" s="5" t="s">
        <v>3</v>
      </c>
      <c r="F73" s="5">
        <v>2</v>
      </c>
      <c r="G73" s="5">
        <v>5</v>
      </c>
      <c r="H73" s="5">
        <v>1</v>
      </c>
      <c r="I73" s="5"/>
      <c r="J73" s="15">
        <v>21</v>
      </c>
      <c r="K73" s="15">
        <v>20.8</v>
      </c>
      <c r="L73" s="15">
        <v>16</v>
      </c>
      <c r="M73" s="5"/>
    </row>
    <row r="74" spans="1:13" hidden="1" x14ac:dyDescent="0.3">
      <c r="A74" s="5">
        <v>73</v>
      </c>
      <c r="B74" s="5" t="s">
        <v>4</v>
      </c>
      <c r="C74" s="5" t="s">
        <v>18</v>
      </c>
      <c r="D74" s="5" t="s">
        <v>10</v>
      </c>
      <c r="E74" s="5" t="s">
        <v>3</v>
      </c>
      <c r="F74" s="5">
        <v>2</v>
      </c>
      <c r="G74" s="5">
        <v>5</v>
      </c>
      <c r="H74" s="5">
        <v>1</v>
      </c>
      <c r="I74" s="5"/>
      <c r="J74" s="15">
        <v>21</v>
      </c>
      <c r="K74" s="15">
        <v>20.8</v>
      </c>
      <c r="L74" s="15">
        <v>16</v>
      </c>
      <c r="M74" s="5"/>
    </row>
    <row r="75" spans="1:13" hidden="1" x14ac:dyDescent="0.3">
      <c r="A75" s="5">
        <v>74</v>
      </c>
      <c r="B75" s="5" t="s">
        <v>4</v>
      </c>
      <c r="C75" s="5" t="s">
        <v>18</v>
      </c>
      <c r="D75" s="5" t="s">
        <v>10</v>
      </c>
      <c r="E75" s="5" t="s">
        <v>3</v>
      </c>
      <c r="F75" s="5">
        <v>2</v>
      </c>
      <c r="G75" s="5">
        <v>5</v>
      </c>
      <c r="H75" s="5">
        <v>1</v>
      </c>
      <c r="I75" s="5"/>
      <c r="J75" s="15">
        <v>21</v>
      </c>
      <c r="K75" s="15">
        <v>20.8</v>
      </c>
      <c r="L75" s="15">
        <v>16</v>
      </c>
      <c r="M75" s="5"/>
    </row>
    <row r="76" spans="1:13" hidden="1" x14ac:dyDescent="0.3">
      <c r="A76" s="5">
        <v>75</v>
      </c>
      <c r="B76" s="5" t="s">
        <v>4</v>
      </c>
      <c r="C76" s="5" t="s">
        <v>18</v>
      </c>
      <c r="D76" s="5" t="s">
        <v>10</v>
      </c>
      <c r="E76" s="5" t="s">
        <v>3</v>
      </c>
      <c r="F76" s="5">
        <v>2</v>
      </c>
      <c r="G76" s="5">
        <v>5</v>
      </c>
      <c r="H76" s="5">
        <v>1</v>
      </c>
      <c r="I76" s="5"/>
      <c r="J76" s="15">
        <v>21</v>
      </c>
      <c r="K76" s="15">
        <v>20.8</v>
      </c>
      <c r="L76" s="15">
        <v>16</v>
      </c>
      <c r="M76" s="5"/>
    </row>
    <row r="77" spans="1:13" hidden="1" x14ac:dyDescent="0.3">
      <c r="A77" s="5">
        <v>76</v>
      </c>
      <c r="B77" s="5" t="s">
        <v>4</v>
      </c>
      <c r="C77" s="5" t="s">
        <v>18</v>
      </c>
      <c r="D77" s="5" t="s">
        <v>10</v>
      </c>
      <c r="E77" s="5" t="s">
        <v>3</v>
      </c>
      <c r="F77" s="5">
        <v>4</v>
      </c>
      <c r="G77" s="5">
        <v>5</v>
      </c>
      <c r="H77" s="15">
        <v>2</v>
      </c>
      <c r="I77" s="5"/>
      <c r="J77" s="15">
        <v>21</v>
      </c>
      <c r="K77" s="15">
        <v>20.8</v>
      </c>
      <c r="L77" s="15">
        <v>16</v>
      </c>
      <c r="M77" s="5"/>
    </row>
    <row r="78" spans="1:13" x14ac:dyDescent="0.3">
      <c r="A78" s="5">
        <v>77</v>
      </c>
      <c r="B78" s="5" t="s">
        <v>6</v>
      </c>
      <c r="C78" s="5" t="s">
        <v>18</v>
      </c>
      <c r="D78" s="5" t="s">
        <v>11</v>
      </c>
      <c r="E78" s="5" t="s">
        <v>3</v>
      </c>
      <c r="F78" s="5">
        <v>4</v>
      </c>
      <c r="G78" s="5">
        <v>6</v>
      </c>
      <c r="H78" s="15">
        <v>2</v>
      </c>
      <c r="I78" s="5"/>
      <c r="J78" s="5">
        <v>50</v>
      </c>
      <c r="K78" s="5">
        <v>27</v>
      </c>
      <c r="L78" s="5">
        <v>21</v>
      </c>
      <c r="M78" s="5">
        <v>2</v>
      </c>
    </row>
    <row r="79" spans="1:13" hidden="1" x14ac:dyDescent="0.3">
      <c r="A79" s="5">
        <v>78</v>
      </c>
      <c r="B79" s="5" t="s">
        <v>7</v>
      </c>
      <c r="C79" s="5" t="s">
        <v>18</v>
      </c>
      <c r="D79" s="5" t="s">
        <v>10</v>
      </c>
      <c r="E79" s="5" t="s">
        <v>3</v>
      </c>
      <c r="F79" s="5">
        <v>4</v>
      </c>
      <c r="G79" s="5">
        <v>3</v>
      </c>
      <c r="H79" s="15">
        <v>2</v>
      </c>
      <c r="I79" s="5"/>
      <c r="J79" s="5">
        <v>11.5</v>
      </c>
      <c r="K79" s="5">
        <v>9</v>
      </c>
      <c r="L79" s="15">
        <v>16</v>
      </c>
      <c r="M79" s="5"/>
    </row>
    <row r="80" spans="1:13" hidden="1" x14ac:dyDescent="0.3">
      <c r="A80" s="5">
        <v>79</v>
      </c>
      <c r="B80" s="5" t="s">
        <v>4</v>
      </c>
      <c r="C80" s="5" t="s">
        <v>18</v>
      </c>
      <c r="D80" s="5" t="s">
        <v>10</v>
      </c>
      <c r="E80" s="5" t="s">
        <v>3</v>
      </c>
      <c r="F80" s="5">
        <v>4</v>
      </c>
      <c r="G80" s="5">
        <v>5</v>
      </c>
      <c r="H80" s="15">
        <v>2</v>
      </c>
      <c r="I80" s="5"/>
      <c r="J80" s="15">
        <v>21</v>
      </c>
      <c r="K80" s="15">
        <v>20.8</v>
      </c>
      <c r="L80" s="15">
        <v>16</v>
      </c>
      <c r="M80" s="5"/>
    </row>
    <row r="81" spans="1:13" x14ac:dyDescent="0.3">
      <c r="A81" s="5">
        <v>80</v>
      </c>
      <c r="B81" s="5" t="s">
        <v>5</v>
      </c>
      <c r="C81" s="5" t="s">
        <v>18</v>
      </c>
      <c r="D81" s="5" t="s">
        <v>11</v>
      </c>
      <c r="E81" s="5" t="s">
        <v>3</v>
      </c>
      <c r="F81" s="5">
        <v>2</v>
      </c>
      <c r="G81" s="5">
        <v>10</v>
      </c>
      <c r="H81" s="5">
        <v>1</v>
      </c>
      <c r="I81" s="5"/>
      <c r="J81" s="5">
        <v>83</v>
      </c>
      <c r="K81" s="5">
        <v>69</v>
      </c>
      <c r="L81" s="5">
        <v>21</v>
      </c>
      <c r="M81" s="5">
        <v>3</v>
      </c>
    </row>
    <row r="82" spans="1:13" hidden="1" x14ac:dyDescent="0.3">
      <c r="A82" s="5">
        <v>81</v>
      </c>
      <c r="B82" s="5" t="s">
        <v>4</v>
      </c>
      <c r="C82" s="5" t="s">
        <v>18</v>
      </c>
      <c r="D82" s="5" t="s">
        <v>10</v>
      </c>
      <c r="E82" s="5" t="s">
        <v>3</v>
      </c>
      <c r="F82" s="5">
        <v>2</v>
      </c>
      <c r="G82" s="5">
        <v>5</v>
      </c>
      <c r="H82" s="5">
        <v>1</v>
      </c>
      <c r="I82" s="5"/>
      <c r="J82" s="15">
        <v>21</v>
      </c>
      <c r="K82" s="15">
        <v>20.8</v>
      </c>
      <c r="L82" s="15">
        <v>16</v>
      </c>
      <c r="M82" s="5"/>
    </row>
    <row r="83" spans="1:13" hidden="1" x14ac:dyDescent="0.3">
      <c r="A83" s="5">
        <v>82</v>
      </c>
      <c r="B83" s="5" t="s">
        <v>4</v>
      </c>
      <c r="C83" s="5" t="s">
        <v>18</v>
      </c>
      <c r="D83" s="5" t="s">
        <v>10</v>
      </c>
      <c r="E83" s="5" t="s">
        <v>3</v>
      </c>
      <c r="F83" s="5">
        <v>2</v>
      </c>
      <c r="G83" s="5">
        <v>5</v>
      </c>
      <c r="H83" s="5">
        <v>1</v>
      </c>
      <c r="I83" s="5"/>
      <c r="J83" s="15">
        <v>21</v>
      </c>
      <c r="K83" s="15">
        <v>20.8</v>
      </c>
      <c r="L83" s="15">
        <v>16</v>
      </c>
      <c r="M83" s="5"/>
    </row>
    <row r="84" spans="1:13" hidden="1" x14ac:dyDescent="0.3">
      <c r="A84" s="5">
        <v>83</v>
      </c>
      <c r="B84" s="5" t="s">
        <v>4</v>
      </c>
      <c r="C84" s="5" t="s">
        <v>18</v>
      </c>
      <c r="D84" s="5" t="s">
        <v>10</v>
      </c>
      <c r="E84" s="5" t="s">
        <v>3</v>
      </c>
      <c r="F84" s="5">
        <v>2</v>
      </c>
      <c r="G84" s="5">
        <v>5</v>
      </c>
      <c r="H84" s="5">
        <v>1</v>
      </c>
      <c r="I84" s="5"/>
      <c r="J84" s="15">
        <v>21</v>
      </c>
      <c r="K84" s="15">
        <v>20.8</v>
      </c>
      <c r="L84" s="15">
        <v>16</v>
      </c>
      <c r="M84" s="5"/>
    </row>
    <row r="85" spans="1:13" hidden="1" x14ac:dyDescent="0.3">
      <c r="A85" s="5">
        <v>84</v>
      </c>
      <c r="B85" s="5" t="s">
        <v>4</v>
      </c>
      <c r="C85" s="5" t="s">
        <v>18</v>
      </c>
      <c r="D85" s="5" t="s">
        <v>10</v>
      </c>
      <c r="E85" s="5" t="s">
        <v>3</v>
      </c>
      <c r="F85" s="5">
        <v>2</v>
      </c>
      <c r="G85" s="5">
        <v>5</v>
      </c>
      <c r="H85" s="5">
        <v>1</v>
      </c>
      <c r="I85" s="5"/>
      <c r="J85" s="15">
        <v>21</v>
      </c>
      <c r="K85" s="15">
        <v>20.8</v>
      </c>
      <c r="L85" s="15">
        <v>16</v>
      </c>
      <c r="M85" s="5"/>
    </row>
    <row r="86" spans="1:13" hidden="1" x14ac:dyDescent="0.3">
      <c r="A86" s="5">
        <v>85</v>
      </c>
      <c r="B86" s="5" t="s">
        <v>4</v>
      </c>
      <c r="C86" s="5" t="s">
        <v>18</v>
      </c>
      <c r="D86" s="5" t="s">
        <v>10</v>
      </c>
      <c r="E86" s="5" t="s">
        <v>3</v>
      </c>
      <c r="F86" s="5">
        <v>2</v>
      </c>
      <c r="G86" s="5">
        <v>5</v>
      </c>
      <c r="H86" s="5">
        <v>1</v>
      </c>
      <c r="I86" s="5"/>
      <c r="J86" s="15">
        <v>21</v>
      </c>
      <c r="K86" s="15">
        <v>20.8</v>
      </c>
      <c r="L86" s="15">
        <v>16</v>
      </c>
      <c r="M86" s="5"/>
    </row>
    <row r="87" spans="1:13" hidden="1" x14ac:dyDescent="0.3">
      <c r="A87" s="5">
        <v>86</v>
      </c>
      <c r="B87" s="5" t="s">
        <v>7</v>
      </c>
      <c r="C87" s="5" t="s">
        <v>18</v>
      </c>
      <c r="D87" s="5" t="s">
        <v>10</v>
      </c>
      <c r="E87" s="5" t="s">
        <v>3</v>
      </c>
      <c r="F87" s="5">
        <v>1</v>
      </c>
      <c r="G87" s="5">
        <v>3</v>
      </c>
      <c r="H87" s="5">
        <v>1</v>
      </c>
      <c r="I87" s="5"/>
      <c r="J87" s="5">
        <v>11.5</v>
      </c>
      <c r="K87" s="5">
        <v>9</v>
      </c>
      <c r="L87" s="15">
        <v>16</v>
      </c>
      <c r="M87" s="5"/>
    </row>
    <row r="88" spans="1:13" x14ac:dyDescent="0.3">
      <c r="A88" s="5">
        <v>87</v>
      </c>
      <c r="B88" s="5" t="s">
        <v>5</v>
      </c>
      <c r="C88" s="5" t="s">
        <v>18</v>
      </c>
      <c r="D88" s="5" t="s">
        <v>11</v>
      </c>
      <c r="E88" s="5" t="s">
        <v>3</v>
      </c>
      <c r="F88" s="5">
        <v>2</v>
      </c>
      <c r="G88" s="5">
        <v>10</v>
      </c>
      <c r="H88" s="5">
        <v>1</v>
      </c>
      <c r="I88" s="5"/>
      <c r="J88" s="5">
        <v>83</v>
      </c>
      <c r="K88" s="5">
        <v>69</v>
      </c>
      <c r="L88" s="5">
        <v>21</v>
      </c>
      <c r="M88" s="5">
        <v>3</v>
      </c>
    </row>
    <row r="89" spans="1:13" hidden="1" x14ac:dyDescent="0.3">
      <c r="A89" s="5">
        <v>88</v>
      </c>
      <c r="B89" s="5" t="s">
        <v>7</v>
      </c>
      <c r="C89" s="5" t="s">
        <v>18</v>
      </c>
      <c r="D89" s="5" t="s">
        <v>10</v>
      </c>
      <c r="E89" s="5" t="s">
        <v>3</v>
      </c>
      <c r="F89" s="5">
        <v>2</v>
      </c>
      <c r="G89" s="5">
        <v>3</v>
      </c>
      <c r="H89" s="5">
        <v>1</v>
      </c>
      <c r="I89" s="5"/>
      <c r="J89" s="5">
        <v>11.5</v>
      </c>
      <c r="K89" s="5">
        <v>9</v>
      </c>
      <c r="L89" s="15">
        <v>16</v>
      </c>
      <c r="M89" s="5"/>
    </row>
    <row r="90" spans="1:13" x14ac:dyDescent="0.3">
      <c r="A90" s="5">
        <v>89</v>
      </c>
      <c r="B90" s="5" t="s">
        <v>5</v>
      </c>
      <c r="C90" s="5" t="s">
        <v>18</v>
      </c>
      <c r="D90" s="5" t="s">
        <v>11</v>
      </c>
      <c r="E90" s="5" t="s">
        <v>3</v>
      </c>
      <c r="F90" s="5">
        <v>2</v>
      </c>
      <c r="G90" s="5">
        <v>10</v>
      </c>
      <c r="H90" s="5">
        <v>1</v>
      </c>
      <c r="I90" s="5"/>
      <c r="J90" s="5">
        <v>83</v>
      </c>
      <c r="K90" s="5">
        <v>69</v>
      </c>
      <c r="L90" s="5">
        <v>21</v>
      </c>
      <c r="M90" s="5">
        <v>3</v>
      </c>
    </row>
    <row r="91" spans="1:13" hidden="1" x14ac:dyDescent="0.3">
      <c r="A91" s="5">
        <v>90</v>
      </c>
      <c r="B91" s="5" t="s">
        <v>7</v>
      </c>
      <c r="C91" s="5" t="s">
        <v>18</v>
      </c>
      <c r="D91" s="5" t="s">
        <v>10</v>
      </c>
      <c r="E91" s="5" t="s">
        <v>3</v>
      </c>
      <c r="F91" s="5">
        <v>2</v>
      </c>
      <c r="G91" s="5">
        <v>3</v>
      </c>
      <c r="H91" s="5">
        <v>1</v>
      </c>
      <c r="I91" s="5"/>
      <c r="J91" s="5">
        <v>11.5</v>
      </c>
      <c r="K91" s="5">
        <v>9</v>
      </c>
      <c r="L91" s="15">
        <v>16</v>
      </c>
      <c r="M91" s="5"/>
    </row>
    <row r="92" spans="1:13" hidden="1" x14ac:dyDescent="0.3">
      <c r="A92" s="5">
        <v>91</v>
      </c>
      <c r="B92" s="5" t="s">
        <v>4</v>
      </c>
      <c r="C92" s="5" t="s">
        <v>18</v>
      </c>
      <c r="D92" s="5" t="s">
        <v>10</v>
      </c>
      <c r="E92" s="5" t="s">
        <v>3</v>
      </c>
      <c r="F92" s="5">
        <v>2</v>
      </c>
      <c r="G92" s="5">
        <v>5</v>
      </c>
      <c r="H92" s="5">
        <v>1</v>
      </c>
      <c r="I92" s="5"/>
      <c r="J92" s="15">
        <v>21</v>
      </c>
      <c r="K92" s="15">
        <v>20.8</v>
      </c>
      <c r="L92" s="15">
        <v>16</v>
      </c>
      <c r="M92" s="5"/>
    </row>
    <row r="93" spans="1:13" hidden="1" x14ac:dyDescent="0.3">
      <c r="A93" s="5">
        <v>92</v>
      </c>
      <c r="B93" s="5" t="s">
        <v>4</v>
      </c>
      <c r="C93" s="5" t="s">
        <v>18</v>
      </c>
      <c r="D93" s="5" t="s">
        <v>10</v>
      </c>
      <c r="E93" s="5" t="s">
        <v>3</v>
      </c>
      <c r="F93" s="5">
        <v>2</v>
      </c>
      <c r="G93" s="5">
        <v>5</v>
      </c>
      <c r="H93" s="5">
        <v>1</v>
      </c>
      <c r="I93" s="5"/>
      <c r="J93" s="15">
        <v>21</v>
      </c>
      <c r="K93" s="15">
        <v>20.8</v>
      </c>
      <c r="L93" s="15">
        <v>16</v>
      </c>
      <c r="M93" s="5"/>
    </row>
    <row r="94" spans="1:13" hidden="1" x14ac:dyDescent="0.3">
      <c r="A94" s="5">
        <v>93</v>
      </c>
      <c r="B94" s="5" t="s">
        <v>4</v>
      </c>
      <c r="C94" s="5" t="s">
        <v>18</v>
      </c>
      <c r="D94" s="5" t="s">
        <v>10</v>
      </c>
      <c r="E94" s="5" t="s">
        <v>3</v>
      </c>
      <c r="F94" s="5">
        <v>2</v>
      </c>
      <c r="G94" s="5">
        <v>5</v>
      </c>
      <c r="H94" s="5">
        <v>1</v>
      </c>
      <c r="I94" s="5"/>
      <c r="J94" s="15">
        <v>21</v>
      </c>
      <c r="K94" s="15">
        <v>20.8</v>
      </c>
      <c r="L94" s="15">
        <v>16</v>
      </c>
      <c r="M94" s="5"/>
    </row>
    <row r="95" spans="1:13" hidden="1" x14ac:dyDescent="0.3">
      <c r="A95" s="5">
        <v>94</v>
      </c>
      <c r="B95" s="5" t="s">
        <v>4</v>
      </c>
      <c r="C95" s="5" t="s">
        <v>18</v>
      </c>
      <c r="D95" s="5" t="s">
        <v>10</v>
      </c>
      <c r="E95" s="5" t="s">
        <v>3</v>
      </c>
      <c r="F95" s="5">
        <v>2</v>
      </c>
      <c r="G95" s="5">
        <v>5</v>
      </c>
      <c r="H95" s="5">
        <v>1</v>
      </c>
      <c r="I95" s="5"/>
      <c r="J95" s="15">
        <v>21</v>
      </c>
      <c r="K95" s="15">
        <v>20.8</v>
      </c>
      <c r="L95" s="15">
        <v>16</v>
      </c>
      <c r="M95" s="5"/>
    </row>
    <row r="96" spans="1:13" hidden="1" x14ac:dyDescent="0.3">
      <c r="A96" s="5">
        <v>95</v>
      </c>
      <c r="B96" s="5" t="s">
        <v>4</v>
      </c>
      <c r="C96" s="5" t="s">
        <v>18</v>
      </c>
      <c r="D96" s="5" t="s">
        <v>10</v>
      </c>
      <c r="E96" s="5" t="s">
        <v>3</v>
      </c>
      <c r="F96" s="5">
        <v>2</v>
      </c>
      <c r="G96" s="5">
        <v>5</v>
      </c>
      <c r="H96" s="5">
        <v>1</v>
      </c>
      <c r="I96" s="5"/>
      <c r="J96" s="15">
        <v>21</v>
      </c>
      <c r="K96" s="15">
        <v>20.8</v>
      </c>
      <c r="L96" s="15">
        <v>16</v>
      </c>
      <c r="M96" s="5"/>
    </row>
    <row r="97" spans="1:13" hidden="1" x14ac:dyDescent="0.3">
      <c r="A97" s="5">
        <v>96</v>
      </c>
      <c r="B97" s="5" t="s">
        <v>7</v>
      </c>
      <c r="C97" s="5" t="s">
        <v>18</v>
      </c>
      <c r="D97" s="5" t="s">
        <v>10</v>
      </c>
      <c r="E97" s="5" t="s">
        <v>3</v>
      </c>
      <c r="F97" s="5">
        <v>1</v>
      </c>
      <c r="G97" s="5">
        <v>3</v>
      </c>
      <c r="H97" s="5">
        <v>1</v>
      </c>
      <c r="I97" s="5"/>
      <c r="J97" s="5">
        <v>11.5</v>
      </c>
      <c r="K97" s="5">
        <v>9</v>
      </c>
      <c r="L97" s="15">
        <v>16</v>
      </c>
      <c r="M97" s="5"/>
    </row>
    <row r="98" spans="1:13" x14ac:dyDescent="0.3">
      <c r="A98" s="5">
        <v>97</v>
      </c>
      <c r="B98" s="5" t="s">
        <v>6</v>
      </c>
      <c r="C98" s="5" t="s">
        <v>18</v>
      </c>
      <c r="D98" s="5" t="s">
        <v>11</v>
      </c>
      <c r="E98" s="5" t="s">
        <v>3</v>
      </c>
      <c r="F98" s="5">
        <v>1</v>
      </c>
      <c r="G98" s="5">
        <v>6</v>
      </c>
      <c r="H98" s="5">
        <v>1</v>
      </c>
      <c r="I98" s="5"/>
      <c r="J98" s="5">
        <v>50</v>
      </c>
      <c r="K98" s="5">
        <v>27</v>
      </c>
      <c r="L98" s="5">
        <v>21</v>
      </c>
      <c r="M98" s="5">
        <v>2</v>
      </c>
    </row>
    <row r="99" spans="1:13" x14ac:dyDescent="0.3">
      <c r="A99" s="5">
        <v>98</v>
      </c>
      <c r="B99" s="5" t="s">
        <v>5</v>
      </c>
      <c r="C99" s="5" t="s">
        <v>18</v>
      </c>
      <c r="D99" s="5" t="s">
        <v>11</v>
      </c>
      <c r="E99" s="5" t="s">
        <v>3</v>
      </c>
      <c r="F99" s="5">
        <v>1</v>
      </c>
      <c r="G99" s="5">
        <v>10</v>
      </c>
      <c r="H99" s="5">
        <v>1</v>
      </c>
      <c r="I99" s="5"/>
      <c r="J99" s="5">
        <v>83</v>
      </c>
      <c r="K99" s="5">
        <v>69</v>
      </c>
      <c r="L99" s="5">
        <v>21</v>
      </c>
      <c r="M99" s="5">
        <v>3</v>
      </c>
    </row>
    <row r="100" spans="1:13" x14ac:dyDescent="0.3">
      <c r="A100" s="5">
        <v>99</v>
      </c>
      <c r="B100" s="5" t="s">
        <v>5</v>
      </c>
      <c r="C100" s="5" t="s">
        <v>18</v>
      </c>
      <c r="D100" s="5" t="s">
        <v>11</v>
      </c>
      <c r="E100" s="5" t="s">
        <v>3</v>
      </c>
      <c r="F100" s="5">
        <v>1</v>
      </c>
      <c r="G100" s="5">
        <v>10</v>
      </c>
      <c r="H100" s="5">
        <v>1</v>
      </c>
      <c r="I100" s="5"/>
      <c r="J100" s="5">
        <v>83</v>
      </c>
      <c r="K100" s="5">
        <v>69</v>
      </c>
      <c r="L100" s="5">
        <v>21</v>
      </c>
      <c r="M100" s="5">
        <v>3</v>
      </c>
    </row>
    <row r="101" spans="1:13" x14ac:dyDescent="0.3">
      <c r="A101" s="5">
        <v>100</v>
      </c>
      <c r="B101" s="5" t="s">
        <v>5</v>
      </c>
      <c r="C101" s="5" t="s">
        <v>18</v>
      </c>
      <c r="D101" s="5" t="s">
        <v>11</v>
      </c>
      <c r="E101" s="5" t="s">
        <v>3</v>
      </c>
      <c r="F101" s="5">
        <v>1</v>
      </c>
      <c r="G101" s="5">
        <v>10</v>
      </c>
      <c r="H101" s="5">
        <v>1</v>
      </c>
      <c r="I101" s="5"/>
      <c r="J101" s="5">
        <v>83</v>
      </c>
      <c r="K101" s="5">
        <v>69</v>
      </c>
      <c r="L101" s="5">
        <v>21</v>
      </c>
      <c r="M101" s="5">
        <v>3</v>
      </c>
    </row>
    <row r="102" spans="1:13" x14ac:dyDescent="0.3">
      <c r="A102" s="5">
        <v>101</v>
      </c>
      <c r="B102" s="5" t="s">
        <v>5</v>
      </c>
      <c r="C102" s="5" t="s">
        <v>18</v>
      </c>
      <c r="D102" s="5" t="s">
        <v>11</v>
      </c>
      <c r="E102" s="5" t="s">
        <v>3</v>
      </c>
      <c r="F102" s="5">
        <v>1</v>
      </c>
      <c r="G102" s="5">
        <v>10</v>
      </c>
      <c r="H102" s="5">
        <v>1</v>
      </c>
      <c r="I102" s="5"/>
      <c r="J102" s="5">
        <v>83</v>
      </c>
      <c r="K102" s="5">
        <v>69</v>
      </c>
      <c r="L102" s="5">
        <v>21</v>
      </c>
      <c r="M102" s="5">
        <v>3</v>
      </c>
    </row>
    <row r="103" spans="1:13" x14ac:dyDescent="0.3">
      <c r="A103" s="5">
        <v>102</v>
      </c>
      <c r="B103" s="5" t="s">
        <v>6</v>
      </c>
      <c r="C103" s="5" t="s">
        <v>18</v>
      </c>
      <c r="D103" s="5" t="s">
        <v>11</v>
      </c>
      <c r="E103" s="5" t="s">
        <v>3</v>
      </c>
      <c r="F103" s="5">
        <v>1</v>
      </c>
      <c r="G103" s="5">
        <v>6</v>
      </c>
      <c r="H103" s="5">
        <v>1</v>
      </c>
      <c r="I103" s="5"/>
      <c r="J103" s="5">
        <v>50</v>
      </c>
      <c r="K103" s="5">
        <v>27</v>
      </c>
      <c r="L103" s="5">
        <v>21</v>
      </c>
      <c r="M103" s="5">
        <v>2</v>
      </c>
    </row>
    <row r="104" spans="1:13" hidden="1" x14ac:dyDescent="0.3">
      <c r="A104" s="5">
        <v>103</v>
      </c>
      <c r="B104" s="5" t="s">
        <v>8</v>
      </c>
      <c r="C104" s="5" t="s">
        <v>17</v>
      </c>
      <c r="D104" s="5" t="s">
        <v>10</v>
      </c>
      <c r="E104" s="14" t="s">
        <v>2</v>
      </c>
      <c r="F104" s="5">
        <v>1</v>
      </c>
      <c r="G104" s="5">
        <v>3</v>
      </c>
      <c r="H104" s="5">
        <v>1</v>
      </c>
      <c r="I104" s="5"/>
      <c r="J104" s="5">
        <v>11.5</v>
      </c>
      <c r="K104" s="5">
        <v>9</v>
      </c>
      <c r="L104" s="15">
        <v>16</v>
      </c>
      <c r="M104" s="5"/>
    </row>
    <row r="105" spans="1:13" x14ac:dyDescent="0.3">
      <c r="A105" s="5">
        <v>104</v>
      </c>
      <c r="B105" s="5" t="s">
        <v>5</v>
      </c>
      <c r="C105" s="5" t="s">
        <v>18</v>
      </c>
      <c r="D105" s="5" t="s">
        <v>11</v>
      </c>
      <c r="E105" s="5" t="s">
        <v>3</v>
      </c>
      <c r="F105" s="5">
        <v>1</v>
      </c>
      <c r="G105" s="5">
        <v>10</v>
      </c>
      <c r="H105" s="5">
        <v>1</v>
      </c>
      <c r="I105" s="5"/>
      <c r="J105" s="5">
        <v>83</v>
      </c>
      <c r="K105" s="5">
        <v>69</v>
      </c>
      <c r="L105" s="5">
        <v>21</v>
      </c>
      <c r="M105" s="5">
        <v>3</v>
      </c>
    </row>
    <row r="106" spans="1:13" x14ac:dyDescent="0.3">
      <c r="A106" s="5">
        <v>105</v>
      </c>
      <c r="B106" s="5" t="s">
        <v>5</v>
      </c>
      <c r="C106" s="5" t="s">
        <v>18</v>
      </c>
      <c r="D106" s="5" t="s">
        <v>11</v>
      </c>
      <c r="E106" s="5" t="s">
        <v>3</v>
      </c>
      <c r="F106" s="5">
        <v>1</v>
      </c>
      <c r="G106" s="5">
        <v>10</v>
      </c>
      <c r="H106" s="5">
        <v>1</v>
      </c>
      <c r="I106" s="5"/>
      <c r="J106" s="5">
        <v>83</v>
      </c>
      <c r="K106" s="5">
        <v>69</v>
      </c>
      <c r="L106" s="5">
        <v>21</v>
      </c>
      <c r="M106" s="5">
        <v>3</v>
      </c>
    </row>
    <row r="107" spans="1:13" x14ac:dyDescent="0.3">
      <c r="A107" s="5">
        <v>106</v>
      </c>
      <c r="B107" s="5" t="s">
        <v>6</v>
      </c>
      <c r="C107" s="5" t="s">
        <v>18</v>
      </c>
      <c r="D107" s="5" t="s">
        <v>11</v>
      </c>
      <c r="E107" s="5" t="s">
        <v>3</v>
      </c>
      <c r="F107" s="5">
        <v>1</v>
      </c>
      <c r="G107" s="5">
        <v>6</v>
      </c>
      <c r="H107" s="5">
        <v>1</v>
      </c>
      <c r="I107" s="5"/>
      <c r="J107" s="5">
        <v>50</v>
      </c>
      <c r="K107" s="5">
        <v>27</v>
      </c>
      <c r="L107" s="5">
        <v>21</v>
      </c>
      <c r="M107" s="5">
        <v>2</v>
      </c>
    </row>
    <row r="108" spans="1:13" x14ac:dyDescent="0.3">
      <c r="A108" s="5">
        <v>107</v>
      </c>
      <c r="B108" s="5" t="s">
        <v>5</v>
      </c>
      <c r="C108" s="5" t="s">
        <v>18</v>
      </c>
      <c r="D108" s="5" t="s">
        <v>11</v>
      </c>
      <c r="E108" s="5" t="s">
        <v>3</v>
      </c>
      <c r="F108" s="5">
        <v>1</v>
      </c>
      <c r="G108" s="5">
        <v>10</v>
      </c>
      <c r="H108" s="5">
        <v>1</v>
      </c>
      <c r="I108" s="5"/>
      <c r="J108" s="5">
        <v>83</v>
      </c>
      <c r="K108" s="5">
        <v>69</v>
      </c>
      <c r="L108" s="5">
        <v>21</v>
      </c>
      <c r="M108" s="5">
        <v>3</v>
      </c>
    </row>
    <row r="109" spans="1:13" x14ac:dyDescent="0.3">
      <c r="A109" s="5">
        <v>108</v>
      </c>
      <c r="B109" s="5" t="s">
        <v>5</v>
      </c>
      <c r="C109" s="5" t="s">
        <v>18</v>
      </c>
      <c r="D109" s="5" t="s">
        <v>11</v>
      </c>
      <c r="E109" s="5" t="s">
        <v>3</v>
      </c>
      <c r="F109" s="5">
        <v>1</v>
      </c>
      <c r="G109" s="5">
        <v>10</v>
      </c>
      <c r="H109" s="5">
        <v>1</v>
      </c>
      <c r="I109" s="5"/>
      <c r="J109" s="5">
        <v>83</v>
      </c>
      <c r="K109" s="5">
        <v>69</v>
      </c>
      <c r="L109" s="5">
        <v>21</v>
      </c>
      <c r="M109" s="5">
        <v>3</v>
      </c>
    </row>
    <row r="110" spans="1:13" x14ac:dyDescent="0.3">
      <c r="A110" s="5">
        <v>109</v>
      </c>
      <c r="B110" s="5" t="s">
        <v>5</v>
      </c>
      <c r="C110" s="5" t="s">
        <v>18</v>
      </c>
      <c r="D110" s="5" t="s">
        <v>11</v>
      </c>
      <c r="E110" s="5" t="s">
        <v>3</v>
      </c>
      <c r="F110" s="5">
        <v>1</v>
      </c>
      <c r="G110" s="5">
        <v>10</v>
      </c>
      <c r="H110" s="5">
        <v>1</v>
      </c>
      <c r="I110" s="5"/>
      <c r="J110" s="5">
        <v>83</v>
      </c>
      <c r="K110" s="5">
        <v>69</v>
      </c>
      <c r="L110" s="5">
        <v>21</v>
      </c>
      <c r="M110" s="5">
        <v>3</v>
      </c>
    </row>
    <row r="111" spans="1:13" hidden="1" x14ac:dyDescent="0.3">
      <c r="A111" s="5">
        <v>110</v>
      </c>
      <c r="B111" s="5" t="s">
        <v>4</v>
      </c>
      <c r="C111" s="5" t="s">
        <v>18</v>
      </c>
      <c r="D111" s="5" t="s">
        <v>10</v>
      </c>
      <c r="E111" s="5" t="s">
        <v>3</v>
      </c>
      <c r="F111" s="5">
        <v>1</v>
      </c>
      <c r="G111" s="5">
        <v>5</v>
      </c>
      <c r="H111" s="5">
        <v>1</v>
      </c>
      <c r="I111" s="5"/>
      <c r="J111" s="15">
        <v>21</v>
      </c>
      <c r="K111" s="15">
        <v>20.8</v>
      </c>
      <c r="L111" s="15">
        <v>16</v>
      </c>
      <c r="M111" s="5"/>
    </row>
    <row r="112" spans="1:13" hidden="1" x14ac:dyDescent="0.3">
      <c r="A112" s="5">
        <v>111</v>
      </c>
      <c r="B112" s="5" t="s">
        <v>4</v>
      </c>
      <c r="C112" s="5" t="s">
        <v>18</v>
      </c>
      <c r="D112" s="5" t="s">
        <v>10</v>
      </c>
      <c r="E112" s="5" t="s">
        <v>3</v>
      </c>
      <c r="F112" s="5">
        <v>1</v>
      </c>
      <c r="G112" s="5">
        <v>5</v>
      </c>
      <c r="H112" s="5">
        <v>1</v>
      </c>
      <c r="I112" s="5"/>
      <c r="J112" s="15">
        <v>21</v>
      </c>
      <c r="K112" s="15">
        <v>20.8</v>
      </c>
      <c r="L112" s="15">
        <v>16</v>
      </c>
      <c r="M112" s="5"/>
    </row>
    <row r="113" spans="1:13" hidden="1" x14ac:dyDescent="0.3">
      <c r="A113" s="5">
        <v>112</v>
      </c>
      <c r="B113" s="5" t="s">
        <v>4</v>
      </c>
      <c r="C113" s="5" t="s">
        <v>18</v>
      </c>
      <c r="D113" s="5" t="s">
        <v>10</v>
      </c>
      <c r="E113" s="5" t="s">
        <v>3</v>
      </c>
      <c r="F113" s="5">
        <v>1</v>
      </c>
      <c r="G113" s="5">
        <v>5</v>
      </c>
      <c r="H113" s="5">
        <v>1</v>
      </c>
      <c r="I113" s="11"/>
      <c r="J113" s="15">
        <v>21</v>
      </c>
      <c r="K113" s="15">
        <v>20.8</v>
      </c>
      <c r="L113" s="15">
        <v>16</v>
      </c>
      <c r="M113" s="11"/>
    </row>
    <row r="114" spans="1:13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>
        <f>SUBTOTAL(9,J2:J113)</f>
        <v>4420</v>
      </c>
      <c r="K114" s="11">
        <f>SUBTOTAL(9,K2:K113)</f>
        <v>3354</v>
      </c>
      <c r="L114" s="11">
        <f>SUBTOTAL(9,L2:L113)</f>
        <v>1302</v>
      </c>
      <c r="M114" s="11"/>
    </row>
    <row r="116" spans="1:13" x14ac:dyDescent="0.3">
      <c r="G116" s="13">
        <f>SUM(G2:G113)</f>
        <v>764</v>
      </c>
      <c r="H116" s="13">
        <f t="shared" ref="H116:M116" si="1">SUM(H2:H113)</f>
        <v>171</v>
      </c>
      <c r="I116" s="13">
        <f t="shared" si="1"/>
        <v>0</v>
      </c>
      <c r="J116" s="13">
        <f t="shared" si="1"/>
        <v>5384.5</v>
      </c>
      <c r="K116" s="13">
        <f t="shared" si="1"/>
        <v>4287.8000000000047</v>
      </c>
      <c r="L116" s="13">
        <f t="shared" si="1"/>
        <v>2102</v>
      </c>
      <c r="M116" s="13">
        <f t="shared" si="1"/>
        <v>164</v>
      </c>
    </row>
    <row r="118" spans="1:13" x14ac:dyDescent="0.3">
      <c r="H118" s="13">
        <f>(G116-H116)/2</f>
        <v>296.5</v>
      </c>
    </row>
    <row r="120" spans="1:13" x14ac:dyDescent="0.3">
      <c r="H120" s="13">
        <f>H118+H116</f>
        <v>467.5</v>
      </c>
    </row>
  </sheetData>
  <phoneticPr fontId="1" type="noConversion"/>
  <conditionalFormatting sqref="A2:G113">
    <cfRule type="expression" dxfId="22" priority="1">
      <formula>$G2=10</formula>
    </cfRule>
    <cfRule type="expression" dxfId="21" priority="2">
      <formula>$G2=3</formula>
    </cfRule>
    <cfRule type="expression" dxfId="20" priority="3">
      <formula>$G2=6</formula>
    </cfRule>
    <cfRule type="expression" dxfId="19" priority="4">
      <formula>$G2=5</formula>
    </cfRule>
  </conditionalFormatting>
  <conditionalFormatting sqref="G2">
    <cfRule type="expression" dxfId="18" priority="5">
      <formula>$G:$G=5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D7B6-E9E8-4816-B3B9-4D46B1A7E739}">
  <dimension ref="A1:M98"/>
  <sheetViews>
    <sheetView tabSelected="1" topLeftCell="A61" zoomScale="70" zoomScaleNormal="70" workbookViewId="0">
      <selection activeCell="S82" sqref="S82"/>
    </sheetView>
  </sheetViews>
  <sheetFormatPr defaultRowHeight="14.4" x14ac:dyDescent="0.3"/>
  <cols>
    <col min="1" max="1" width="23.88671875" customWidth="1"/>
    <col min="2" max="2" width="13.109375" customWidth="1"/>
    <col min="3" max="3" width="14" customWidth="1"/>
    <col min="4" max="4" width="15.44140625" customWidth="1"/>
    <col min="5" max="5" width="13.5546875" customWidth="1"/>
    <col min="6" max="6" width="15.44140625" customWidth="1"/>
    <col min="7" max="7" width="19.6640625" customWidth="1"/>
    <col min="8" max="8" width="32.5546875" hidden="1" customWidth="1"/>
    <col min="9" max="9" width="21.6640625" hidden="1" customWidth="1"/>
    <col min="10" max="10" width="20.33203125" hidden="1" customWidth="1"/>
    <col min="11" max="11" width="20.5546875" hidden="1" customWidth="1"/>
    <col min="12" max="12" width="18.109375" hidden="1" customWidth="1"/>
  </cols>
  <sheetData>
    <row r="1" spans="1:13" x14ac:dyDescent="0.3">
      <c r="A1" s="1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1</v>
      </c>
      <c r="G1" s="3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41</v>
      </c>
    </row>
    <row r="2" spans="1:13" x14ac:dyDescent="0.3">
      <c r="A2" s="4">
        <v>1</v>
      </c>
      <c r="B2" s="5" t="s">
        <v>5</v>
      </c>
      <c r="C2" s="5" t="s">
        <v>18</v>
      </c>
      <c r="D2" s="5">
        <v>2</v>
      </c>
      <c r="E2" s="5" t="s">
        <v>3</v>
      </c>
      <c r="F2" s="5">
        <v>3</v>
      </c>
      <c r="G2" s="6">
        <v>10</v>
      </c>
      <c r="H2" s="15"/>
      <c r="I2" s="15">
        <v>1</v>
      </c>
      <c r="J2" s="5">
        <v>83</v>
      </c>
      <c r="K2" s="15">
        <v>69</v>
      </c>
      <c r="L2" s="15">
        <v>21</v>
      </c>
      <c r="M2" s="15">
        <v>3</v>
      </c>
    </row>
    <row r="3" spans="1:13" x14ac:dyDescent="0.3">
      <c r="A3" s="4">
        <v>2</v>
      </c>
      <c r="B3" s="5" t="s">
        <v>5</v>
      </c>
      <c r="C3" s="5" t="s">
        <v>18</v>
      </c>
      <c r="D3" s="5">
        <v>2</v>
      </c>
      <c r="E3" s="5" t="s">
        <v>3</v>
      </c>
      <c r="F3" s="5">
        <v>3</v>
      </c>
      <c r="G3" s="6">
        <v>10</v>
      </c>
      <c r="H3" s="5"/>
      <c r="I3" s="15">
        <v>1</v>
      </c>
      <c r="J3" s="5">
        <v>83</v>
      </c>
      <c r="K3" s="15">
        <v>69</v>
      </c>
      <c r="L3" s="15">
        <v>21</v>
      </c>
      <c r="M3" s="15">
        <v>3</v>
      </c>
    </row>
    <row r="4" spans="1:13" x14ac:dyDescent="0.3">
      <c r="A4" s="4">
        <v>3</v>
      </c>
      <c r="B4" s="5" t="s">
        <v>7</v>
      </c>
      <c r="C4" s="5" t="s">
        <v>18</v>
      </c>
      <c r="D4" s="5">
        <v>1</v>
      </c>
      <c r="E4" s="5" t="s">
        <v>3</v>
      </c>
      <c r="F4" s="5">
        <v>3</v>
      </c>
      <c r="G4" s="6">
        <v>3</v>
      </c>
      <c r="H4" s="5"/>
      <c r="I4" s="15">
        <v>1</v>
      </c>
      <c r="J4" s="5">
        <v>11.5</v>
      </c>
      <c r="K4" s="5">
        <v>9</v>
      </c>
      <c r="L4" s="5">
        <v>16</v>
      </c>
      <c r="M4" s="5"/>
    </row>
    <row r="5" spans="1:13" x14ac:dyDescent="0.3">
      <c r="A5" s="4">
        <v>4</v>
      </c>
      <c r="B5" s="5" t="s">
        <v>7</v>
      </c>
      <c r="C5" s="5" t="s">
        <v>18</v>
      </c>
      <c r="D5" s="5">
        <v>1</v>
      </c>
      <c r="E5" s="5" t="s">
        <v>3</v>
      </c>
      <c r="F5" s="5">
        <v>3</v>
      </c>
      <c r="G5" s="6">
        <v>3</v>
      </c>
      <c r="H5" s="5"/>
      <c r="I5" s="15">
        <v>1</v>
      </c>
      <c r="J5" s="5">
        <v>11.5</v>
      </c>
      <c r="K5" s="5">
        <v>9</v>
      </c>
      <c r="L5" s="5">
        <v>16</v>
      </c>
      <c r="M5" s="5"/>
    </row>
    <row r="6" spans="1:13" x14ac:dyDescent="0.3">
      <c r="A6" s="4">
        <v>5</v>
      </c>
      <c r="B6" s="5" t="s">
        <v>5</v>
      </c>
      <c r="C6" s="5" t="s">
        <v>18</v>
      </c>
      <c r="D6" s="5">
        <v>2</v>
      </c>
      <c r="E6" s="5" t="s">
        <v>3</v>
      </c>
      <c r="F6" s="5">
        <v>3</v>
      </c>
      <c r="G6" s="6">
        <v>10</v>
      </c>
      <c r="H6" s="5"/>
      <c r="I6" s="15">
        <v>1</v>
      </c>
      <c r="J6" s="5">
        <v>83</v>
      </c>
      <c r="K6" s="15">
        <v>69</v>
      </c>
      <c r="L6" s="15">
        <v>21</v>
      </c>
      <c r="M6" s="15">
        <v>3</v>
      </c>
    </row>
    <row r="7" spans="1:13" x14ac:dyDescent="0.3">
      <c r="A7" s="4">
        <v>6</v>
      </c>
      <c r="B7" s="5" t="s">
        <v>5</v>
      </c>
      <c r="C7" s="5" t="s">
        <v>18</v>
      </c>
      <c r="D7" s="5">
        <v>2</v>
      </c>
      <c r="E7" s="5" t="s">
        <v>3</v>
      </c>
      <c r="F7" s="5">
        <v>3</v>
      </c>
      <c r="G7" s="6">
        <v>10</v>
      </c>
      <c r="H7" s="5"/>
      <c r="I7" s="15">
        <v>1</v>
      </c>
      <c r="J7" s="5">
        <v>83</v>
      </c>
      <c r="K7" s="15">
        <v>69</v>
      </c>
      <c r="L7" s="15">
        <v>21</v>
      </c>
      <c r="M7" s="15">
        <v>3</v>
      </c>
    </row>
    <row r="8" spans="1:13" x14ac:dyDescent="0.3">
      <c r="A8" s="4">
        <v>7</v>
      </c>
      <c r="B8" s="5" t="s">
        <v>7</v>
      </c>
      <c r="C8" s="5" t="s">
        <v>18</v>
      </c>
      <c r="D8" s="5">
        <v>1</v>
      </c>
      <c r="E8" s="5" t="s">
        <v>3</v>
      </c>
      <c r="F8" s="5">
        <v>3</v>
      </c>
      <c r="G8" s="6">
        <v>3</v>
      </c>
      <c r="H8" s="5"/>
      <c r="I8" s="15">
        <v>1</v>
      </c>
      <c r="J8" s="5">
        <v>11.5</v>
      </c>
      <c r="K8" s="5">
        <v>9</v>
      </c>
      <c r="L8" s="5">
        <v>16</v>
      </c>
      <c r="M8" s="5"/>
    </row>
    <row r="9" spans="1:13" x14ac:dyDescent="0.3">
      <c r="A9" s="4">
        <v>8</v>
      </c>
      <c r="B9" s="5" t="s">
        <v>7</v>
      </c>
      <c r="C9" s="5" t="s">
        <v>18</v>
      </c>
      <c r="D9" s="5">
        <v>1</v>
      </c>
      <c r="E9" s="5" t="s">
        <v>3</v>
      </c>
      <c r="F9" s="5">
        <v>3</v>
      </c>
      <c r="G9" s="6">
        <v>3</v>
      </c>
      <c r="H9" s="5"/>
      <c r="I9" s="15">
        <v>1</v>
      </c>
      <c r="J9" s="5">
        <v>11.5</v>
      </c>
      <c r="K9" s="5">
        <v>9</v>
      </c>
      <c r="L9" s="5">
        <v>16</v>
      </c>
      <c r="M9" s="5"/>
    </row>
    <row r="10" spans="1:13" x14ac:dyDescent="0.3">
      <c r="A10" s="4">
        <v>9</v>
      </c>
      <c r="B10" s="5" t="s">
        <v>6</v>
      </c>
      <c r="C10" s="5" t="s">
        <v>18</v>
      </c>
      <c r="D10" s="5">
        <v>2</v>
      </c>
      <c r="E10" s="5" t="s">
        <v>3</v>
      </c>
      <c r="F10" s="5">
        <v>3</v>
      </c>
      <c r="G10" s="6">
        <v>6</v>
      </c>
      <c r="H10" s="5"/>
      <c r="I10" s="15">
        <v>1</v>
      </c>
      <c r="J10" s="5">
        <v>50</v>
      </c>
      <c r="K10" s="5">
        <v>27</v>
      </c>
      <c r="L10" s="15">
        <v>21</v>
      </c>
      <c r="M10" s="5">
        <v>2</v>
      </c>
    </row>
    <row r="11" spans="1:13" x14ac:dyDescent="0.3">
      <c r="A11" s="4">
        <v>10</v>
      </c>
      <c r="B11" s="5" t="s">
        <v>6</v>
      </c>
      <c r="C11" s="5" t="s">
        <v>18</v>
      </c>
      <c r="D11" s="5">
        <v>2</v>
      </c>
      <c r="E11" s="5" t="s">
        <v>3</v>
      </c>
      <c r="F11" s="5">
        <v>3</v>
      </c>
      <c r="G11" s="6">
        <v>6</v>
      </c>
      <c r="H11" s="5"/>
      <c r="I11" s="15">
        <v>1</v>
      </c>
      <c r="J11" s="5">
        <v>50</v>
      </c>
      <c r="K11" s="5">
        <v>27</v>
      </c>
      <c r="L11" s="15">
        <v>21</v>
      </c>
      <c r="M11" s="5">
        <v>2</v>
      </c>
    </row>
    <row r="12" spans="1:13" x14ac:dyDescent="0.3">
      <c r="A12" s="4">
        <v>11</v>
      </c>
      <c r="B12" s="5" t="s">
        <v>5</v>
      </c>
      <c r="C12" s="5" t="s">
        <v>18</v>
      </c>
      <c r="D12" s="5">
        <v>2</v>
      </c>
      <c r="E12" s="5" t="s">
        <v>3</v>
      </c>
      <c r="F12" s="5">
        <v>4</v>
      </c>
      <c r="G12" s="6">
        <v>10</v>
      </c>
      <c r="H12" s="5"/>
      <c r="I12" s="5">
        <v>2</v>
      </c>
      <c r="J12" s="5">
        <v>83</v>
      </c>
      <c r="K12" s="15">
        <v>69</v>
      </c>
      <c r="L12" s="15">
        <v>21</v>
      </c>
      <c r="M12" s="15">
        <v>3</v>
      </c>
    </row>
    <row r="13" spans="1:13" x14ac:dyDescent="0.3">
      <c r="A13" s="4">
        <v>12</v>
      </c>
      <c r="B13" s="5" t="s">
        <v>5</v>
      </c>
      <c r="C13" s="5" t="s">
        <v>18</v>
      </c>
      <c r="D13" s="5">
        <v>2</v>
      </c>
      <c r="E13" s="5" t="s">
        <v>3</v>
      </c>
      <c r="F13" s="5">
        <v>4</v>
      </c>
      <c r="G13" s="6">
        <v>10</v>
      </c>
      <c r="H13" s="5"/>
      <c r="I13" s="5">
        <v>2</v>
      </c>
      <c r="J13" s="5">
        <v>83</v>
      </c>
      <c r="K13" s="15">
        <v>69</v>
      </c>
      <c r="L13" s="15">
        <v>21</v>
      </c>
      <c r="M13" s="15">
        <v>3</v>
      </c>
    </row>
    <row r="14" spans="1:13" x14ac:dyDescent="0.3">
      <c r="A14" s="4">
        <v>13</v>
      </c>
      <c r="B14" s="5" t="s">
        <v>5</v>
      </c>
      <c r="C14" s="5" t="s">
        <v>18</v>
      </c>
      <c r="D14" s="5">
        <v>2</v>
      </c>
      <c r="E14" s="5" t="s">
        <v>3</v>
      </c>
      <c r="F14" s="5">
        <v>4</v>
      </c>
      <c r="G14" s="6">
        <v>10</v>
      </c>
      <c r="H14" s="5"/>
      <c r="I14" s="5">
        <v>2</v>
      </c>
      <c r="J14" s="5">
        <v>83</v>
      </c>
      <c r="K14" s="15">
        <v>69</v>
      </c>
      <c r="L14" s="15">
        <v>21</v>
      </c>
      <c r="M14" s="15">
        <v>3</v>
      </c>
    </row>
    <row r="15" spans="1:13" x14ac:dyDescent="0.3">
      <c r="A15" s="4">
        <v>14</v>
      </c>
      <c r="B15" s="5" t="s">
        <v>5</v>
      </c>
      <c r="C15" s="5" t="s">
        <v>18</v>
      </c>
      <c r="D15" s="5">
        <v>2</v>
      </c>
      <c r="E15" s="5" t="s">
        <v>3</v>
      </c>
      <c r="F15" s="5">
        <v>4</v>
      </c>
      <c r="G15" s="6">
        <v>10</v>
      </c>
      <c r="H15" s="5"/>
      <c r="I15" s="5">
        <v>2</v>
      </c>
      <c r="J15" s="5">
        <v>83</v>
      </c>
      <c r="K15" s="15">
        <v>69</v>
      </c>
      <c r="L15" s="15">
        <v>21</v>
      </c>
      <c r="M15" s="15">
        <v>3</v>
      </c>
    </row>
    <row r="16" spans="1:13" x14ac:dyDescent="0.3">
      <c r="A16" s="4">
        <v>15</v>
      </c>
      <c r="B16" s="5" t="s">
        <v>5</v>
      </c>
      <c r="C16" s="5" t="s">
        <v>18</v>
      </c>
      <c r="D16" s="5">
        <v>2</v>
      </c>
      <c r="E16" s="5" t="s">
        <v>3</v>
      </c>
      <c r="F16" s="5">
        <v>4</v>
      </c>
      <c r="G16" s="6">
        <v>10</v>
      </c>
      <c r="H16" s="5"/>
      <c r="I16" s="5">
        <v>2</v>
      </c>
      <c r="J16" s="5">
        <v>83</v>
      </c>
      <c r="K16" s="15">
        <v>69</v>
      </c>
      <c r="L16" s="15">
        <v>21</v>
      </c>
      <c r="M16" s="15">
        <v>3</v>
      </c>
    </row>
    <row r="17" spans="1:13" x14ac:dyDescent="0.3">
      <c r="A17" s="4">
        <v>16</v>
      </c>
      <c r="B17" s="5" t="s">
        <v>4</v>
      </c>
      <c r="C17" s="5" t="s">
        <v>18</v>
      </c>
      <c r="D17" s="5">
        <v>1</v>
      </c>
      <c r="E17" s="5" t="s">
        <v>3</v>
      </c>
      <c r="F17" s="5">
        <v>4</v>
      </c>
      <c r="G17" s="6">
        <v>5</v>
      </c>
      <c r="H17" s="5"/>
      <c r="I17" s="5">
        <v>2</v>
      </c>
      <c r="J17" s="15">
        <v>21</v>
      </c>
      <c r="K17" s="5">
        <v>20.8</v>
      </c>
      <c r="L17" s="5">
        <v>16</v>
      </c>
      <c r="M17" s="5"/>
    </row>
    <row r="18" spans="1:13" x14ac:dyDescent="0.3">
      <c r="A18" s="4">
        <v>17</v>
      </c>
      <c r="B18" s="5" t="s">
        <v>5</v>
      </c>
      <c r="C18" s="5" t="s">
        <v>18</v>
      </c>
      <c r="D18" s="5">
        <v>2</v>
      </c>
      <c r="E18" s="5" t="s">
        <v>3</v>
      </c>
      <c r="F18" s="5">
        <v>4</v>
      </c>
      <c r="G18" s="6">
        <v>10</v>
      </c>
      <c r="H18" s="5"/>
      <c r="I18" s="5">
        <v>2</v>
      </c>
      <c r="J18" s="5">
        <v>83</v>
      </c>
      <c r="K18" s="15">
        <v>69</v>
      </c>
      <c r="L18" s="15">
        <v>21</v>
      </c>
      <c r="M18" s="15">
        <v>3</v>
      </c>
    </row>
    <row r="19" spans="1:13" x14ac:dyDescent="0.3">
      <c r="A19" s="4">
        <v>18</v>
      </c>
      <c r="B19" s="5" t="s">
        <v>7</v>
      </c>
      <c r="C19" s="5" t="s">
        <v>18</v>
      </c>
      <c r="D19" s="5">
        <v>1</v>
      </c>
      <c r="E19" s="5" t="s">
        <v>3</v>
      </c>
      <c r="F19" s="5">
        <v>3</v>
      </c>
      <c r="G19" s="6">
        <v>3</v>
      </c>
      <c r="H19" s="5"/>
      <c r="I19" s="15">
        <v>1</v>
      </c>
      <c r="J19" s="5">
        <v>11.5</v>
      </c>
      <c r="K19" s="5">
        <v>9</v>
      </c>
      <c r="L19" s="5">
        <v>16</v>
      </c>
      <c r="M19" s="5"/>
    </row>
    <row r="20" spans="1:13" x14ac:dyDescent="0.3">
      <c r="A20" s="4">
        <v>19</v>
      </c>
      <c r="B20" s="5" t="s">
        <v>7</v>
      </c>
      <c r="C20" s="5" t="s">
        <v>18</v>
      </c>
      <c r="D20" s="5">
        <v>1</v>
      </c>
      <c r="E20" s="5" t="s">
        <v>3</v>
      </c>
      <c r="F20" s="5">
        <v>3</v>
      </c>
      <c r="G20" s="6">
        <v>3</v>
      </c>
      <c r="H20" s="5"/>
      <c r="I20" s="15">
        <v>1</v>
      </c>
      <c r="J20" s="5">
        <v>11.5</v>
      </c>
      <c r="K20" s="5">
        <v>9</v>
      </c>
      <c r="L20" s="5">
        <v>16</v>
      </c>
      <c r="M20" s="5"/>
    </row>
    <row r="21" spans="1:13" x14ac:dyDescent="0.3">
      <c r="A21" s="4">
        <v>20</v>
      </c>
      <c r="B21" s="5" t="s">
        <v>7</v>
      </c>
      <c r="C21" s="5" t="s">
        <v>18</v>
      </c>
      <c r="D21" s="5">
        <v>1</v>
      </c>
      <c r="E21" s="5" t="s">
        <v>3</v>
      </c>
      <c r="F21" s="5">
        <v>3</v>
      </c>
      <c r="G21" s="6">
        <v>3</v>
      </c>
      <c r="H21" s="5"/>
      <c r="I21" s="15">
        <v>1</v>
      </c>
      <c r="J21" s="5">
        <v>11.5</v>
      </c>
      <c r="K21" s="5">
        <v>9</v>
      </c>
      <c r="L21" s="5">
        <v>16</v>
      </c>
      <c r="M21" s="5"/>
    </row>
    <row r="22" spans="1:13" x14ac:dyDescent="0.3">
      <c r="A22" s="4">
        <v>21</v>
      </c>
      <c r="B22" s="5" t="s">
        <v>7</v>
      </c>
      <c r="C22" s="5" t="s">
        <v>18</v>
      </c>
      <c r="D22" s="5">
        <v>1</v>
      </c>
      <c r="E22" s="5" t="s">
        <v>3</v>
      </c>
      <c r="F22" s="5">
        <v>3</v>
      </c>
      <c r="G22" s="6">
        <v>3</v>
      </c>
      <c r="H22" s="5"/>
      <c r="I22" s="15">
        <v>1</v>
      </c>
      <c r="J22" s="5">
        <v>11.5</v>
      </c>
      <c r="K22" s="5">
        <v>9</v>
      </c>
      <c r="L22" s="5">
        <v>16</v>
      </c>
      <c r="M22" s="5"/>
    </row>
    <row r="23" spans="1:13" x14ac:dyDescent="0.3">
      <c r="A23" s="4">
        <v>22</v>
      </c>
      <c r="B23" s="5" t="s">
        <v>7</v>
      </c>
      <c r="C23" s="5" t="s">
        <v>18</v>
      </c>
      <c r="D23" s="5">
        <v>1</v>
      </c>
      <c r="E23" s="5" t="s">
        <v>3</v>
      </c>
      <c r="F23" s="5">
        <v>3</v>
      </c>
      <c r="G23" s="6">
        <v>3</v>
      </c>
      <c r="H23" s="5"/>
      <c r="I23" s="15">
        <v>1</v>
      </c>
      <c r="J23" s="5">
        <v>11.5</v>
      </c>
      <c r="K23" s="5">
        <v>9</v>
      </c>
      <c r="L23" s="5">
        <v>16</v>
      </c>
      <c r="M23" s="5"/>
    </row>
    <row r="24" spans="1:13" x14ac:dyDescent="0.3">
      <c r="A24" s="4">
        <v>23</v>
      </c>
      <c r="B24" s="5" t="s">
        <v>7</v>
      </c>
      <c r="C24" s="5" t="s">
        <v>18</v>
      </c>
      <c r="D24" s="5">
        <v>1</v>
      </c>
      <c r="E24" s="5" t="s">
        <v>3</v>
      </c>
      <c r="F24" s="5">
        <v>3</v>
      </c>
      <c r="G24" s="6">
        <v>3</v>
      </c>
      <c r="H24" s="5"/>
      <c r="I24" s="15">
        <v>1</v>
      </c>
      <c r="J24" s="5">
        <v>11.5</v>
      </c>
      <c r="K24" s="5">
        <v>9</v>
      </c>
      <c r="L24" s="5">
        <v>16</v>
      </c>
      <c r="M24" s="5"/>
    </row>
    <row r="25" spans="1:13" x14ac:dyDescent="0.3">
      <c r="A25" s="4">
        <v>24</v>
      </c>
      <c r="B25" s="5" t="s">
        <v>7</v>
      </c>
      <c r="C25" s="5" t="s">
        <v>18</v>
      </c>
      <c r="D25" s="5">
        <v>1</v>
      </c>
      <c r="E25" s="5" t="s">
        <v>3</v>
      </c>
      <c r="F25" s="5">
        <v>3</v>
      </c>
      <c r="G25" s="6">
        <v>3</v>
      </c>
      <c r="H25" s="5"/>
      <c r="I25" s="15">
        <v>1</v>
      </c>
      <c r="J25" s="5">
        <v>11.5</v>
      </c>
      <c r="K25" s="5">
        <v>9</v>
      </c>
      <c r="L25" s="5">
        <v>16</v>
      </c>
      <c r="M25" s="5"/>
    </row>
    <row r="26" spans="1:13" x14ac:dyDescent="0.3">
      <c r="A26" s="4">
        <v>25</v>
      </c>
      <c r="B26" s="5" t="s">
        <v>5</v>
      </c>
      <c r="C26" s="5" t="s">
        <v>18</v>
      </c>
      <c r="D26" s="5">
        <v>2</v>
      </c>
      <c r="E26" s="5" t="s">
        <v>3</v>
      </c>
      <c r="F26" s="5">
        <v>3</v>
      </c>
      <c r="G26" s="6">
        <v>10</v>
      </c>
      <c r="H26" s="5"/>
      <c r="I26" s="15">
        <v>1</v>
      </c>
      <c r="J26" s="5">
        <v>83</v>
      </c>
      <c r="K26" s="15">
        <v>69</v>
      </c>
      <c r="L26" s="15">
        <v>21</v>
      </c>
      <c r="M26" s="15">
        <v>3</v>
      </c>
    </row>
    <row r="27" spans="1:13" x14ac:dyDescent="0.3">
      <c r="A27" s="4">
        <v>26</v>
      </c>
      <c r="B27" s="5" t="s">
        <v>5</v>
      </c>
      <c r="C27" s="5" t="s">
        <v>18</v>
      </c>
      <c r="D27" s="5">
        <v>2</v>
      </c>
      <c r="E27" s="5" t="s">
        <v>3</v>
      </c>
      <c r="F27" s="5">
        <v>3</v>
      </c>
      <c r="G27" s="6">
        <v>10</v>
      </c>
      <c r="H27" s="5"/>
      <c r="I27" s="15">
        <v>1</v>
      </c>
      <c r="J27" s="5">
        <v>83</v>
      </c>
      <c r="K27" s="15">
        <v>69</v>
      </c>
      <c r="L27" s="15">
        <v>21</v>
      </c>
      <c r="M27" s="15">
        <v>3</v>
      </c>
    </row>
    <row r="28" spans="1:13" x14ac:dyDescent="0.3">
      <c r="A28" s="4">
        <v>27</v>
      </c>
      <c r="B28" s="5" t="s">
        <v>12</v>
      </c>
      <c r="C28" s="5" t="s">
        <v>19</v>
      </c>
      <c r="D28" s="5">
        <v>2</v>
      </c>
      <c r="E28" s="7" t="s">
        <v>2</v>
      </c>
      <c r="F28" s="5">
        <v>3</v>
      </c>
      <c r="G28" s="6">
        <v>10</v>
      </c>
      <c r="H28" s="5" t="s">
        <v>20</v>
      </c>
      <c r="I28" s="15">
        <v>1</v>
      </c>
      <c r="J28" s="5">
        <v>83</v>
      </c>
      <c r="K28" s="15">
        <v>69</v>
      </c>
      <c r="L28" s="15">
        <v>21</v>
      </c>
      <c r="M28" s="15">
        <v>3</v>
      </c>
    </row>
    <row r="29" spans="1:13" x14ac:dyDescent="0.3">
      <c r="A29" s="4">
        <v>28</v>
      </c>
      <c r="B29" s="5" t="s">
        <v>5</v>
      </c>
      <c r="C29" s="5" t="s">
        <v>18</v>
      </c>
      <c r="D29" s="5">
        <v>2</v>
      </c>
      <c r="E29" s="5" t="s">
        <v>3</v>
      </c>
      <c r="F29" s="5">
        <v>2</v>
      </c>
      <c r="G29" s="6">
        <v>10</v>
      </c>
      <c r="H29" s="5"/>
      <c r="I29" s="15">
        <v>1</v>
      </c>
      <c r="J29" s="5">
        <v>83</v>
      </c>
      <c r="K29" s="15">
        <v>69</v>
      </c>
      <c r="L29" s="15">
        <v>21</v>
      </c>
      <c r="M29" s="15">
        <v>3</v>
      </c>
    </row>
    <row r="30" spans="1:13" x14ac:dyDescent="0.3">
      <c r="A30" s="4">
        <v>29</v>
      </c>
      <c r="B30" s="5" t="s">
        <v>6</v>
      </c>
      <c r="C30" s="5" t="s">
        <v>18</v>
      </c>
      <c r="D30" s="5">
        <v>2</v>
      </c>
      <c r="E30" s="5" t="s">
        <v>3</v>
      </c>
      <c r="F30" s="5">
        <v>2</v>
      </c>
      <c r="G30" s="6">
        <v>6</v>
      </c>
      <c r="H30" s="5"/>
      <c r="I30" s="15">
        <v>1</v>
      </c>
      <c r="J30" s="5">
        <v>50</v>
      </c>
      <c r="K30" s="5">
        <v>27</v>
      </c>
      <c r="L30" s="15">
        <v>21</v>
      </c>
      <c r="M30" s="5">
        <v>2</v>
      </c>
    </row>
    <row r="31" spans="1:13" x14ac:dyDescent="0.3">
      <c r="A31" s="4">
        <v>30</v>
      </c>
      <c r="B31" s="5" t="s">
        <v>7</v>
      </c>
      <c r="C31" s="5" t="s">
        <v>18</v>
      </c>
      <c r="D31" s="5">
        <v>1</v>
      </c>
      <c r="E31" s="5" t="s">
        <v>3</v>
      </c>
      <c r="F31" s="5">
        <v>2</v>
      </c>
      <c r="G31" s="6">
        <v>3</v>
      </c>
      <c r="H31" s="5"/>
      <c r="I31" s="15">
        <v>1</v>
      </c>
      <c r="J31" s="5">
        <v>11.5</v>
      </c>
      <c r="K31" s="5">
        <v>9</v>
      </c>
      <c r="L31" s="5">
        <v>16</v>
      </c>
      <c r="M31" s="5"/>
    </row>
    <row r="32" spans="1:13" x14ac:dyDescent="0.3">
      <c r="A32" s="4">
        <v>31</v>
      </c>
      <c r="B32" s="5" t="s">
        <v>7</v>
      </c>
      <c r="C32" s="5" t="s">
        <v>18</v>
      </c>
      <c r="D32" s="5">
        <v>1</v>
      </c>
      <c r="E32" s="5" t="s">
        <v>3</v>
      </c>
      <c r="F32" s="5">
        <v>2</v>
      </c>
      <c r="G32" s="6">
        <v>3</v>
      </c>
      <c r="H32" s="5"/>
      <c r="I32" s="15">
        <v>1</v>
      </c>
      <c r="J32" s="5">
        <v>11.5</v>
      </c>
      <c r="K32" s="5">
        <v>9</v>
      </c>
      <c r="L32" s="5">
        <v>16</v>
      </c>
      <c r="M32" s="5"/>
    </row>
    <row r="33" spans="1:13" x14ac:dyDescent="0.3">
      <c r="A33" s="4">
        <v>32</v>
      </c>
      <c r="B33" s="5" t="s">
        <v>7</v>
      </c>
      <c r="C33" s="5" t="s">
        <v>18</v>
      </c>
      <c r="D33" s="5">
        <v>1</v>
      </c>
      <c r="E33" s="5" t="s">
        <v>3</v>
      </c>
      <c r="F33" s="5">
        <v>2</v>
      </c>
      <c r="G33" s="6">
        <v>3</v>
      </c>
      <c r="H33" s="5"/>
      <c r="I33" s="15">
        <v>1</v>
      </c>
      <c r="J33" s="5">
        <v>11.5</v>
      </c>
      <c r="K33" s="5">
        <v>9</v>
      </c>
      <c r="L33" s="5">
        <v>16</v>
      </c>
      <c r="M33" s="5"/>
    </row>
    <row r="34" spans="1:13" x14ac:dyDescent="0.3">
      <c r="A34" s="4">
        <v>33</v>
      </c>
      <c r="B34" s="5" t="s">
        <v>13</v>
      </c>
      <c r="C34" s="5" t="s">
        <v>19</v>
      </c>
      <c r="D34" s="5">
        <v>2</v>
      </c>
      <c r="E34" s="7" t="s">
        <v>2</v>
      </c>
      <c r="F34" s="5">
        <v>2</v>
      </c>
      <c r="G34" s="6">
        <v>10</v>
      </c>
      <c r="H34" s="5" t="s">
        <v>20</v>
      </c>
      <c r="I34" s="15">
        <v>1</v>
      </c>
      <c r="J34" s="5">
        <v>83</v>
      </c>
      <c r="K34" s="15">
        <v>69</v>
      </c>
      <c r="L34" s="15">
        <v>21</v>
      </c>
      <c r="M34" s="15">
        <v>3</v>
      </c>
    </row>
    <row r="35" spans="1:13" x14ac:dyDescent="0.3">
      <c r="A35" s="4">
        <v>34</v>
      </c>
      <c r="B35" s="5" t="s">
        <v>7</v>
      </c>
      <c r="C35" s="5" t="s">
        <v>18</v>
      </c>
      <c r="D35" s="5">
        <v>1</v>
      </c>
      <c r="E35" s="8" t="s">
        <v>3</v>
      </c>
      <c r="F35" s="5">
        <v>2</v>
      </c>
      <c r="G35" s="6">
        <v>3</v>
      </c>
      <c r="H35" s="5"/>
      <c r="I35" s="15">
        <v>1</v>
      </c>
      <c r="J35" s="5">
        <v>11.5</v>
      </c>
      <c r="K35" s="5">
        <v>9</v>
      </c>
      <c r="L35" s="5">
        <v>16</v>
      </c>
      <c r="M35" s="5"/>
    </row>
    <row r="36" spans="1:13" x14ac:dyDescent="0.3">
      <c r="A36" s="4">
        <v>35</v>
      </c>
      <c r="B36" s="5" t="s">
        <v>13</v>
      </c>
      <c r="C36" s="5" t="s">
        <v>19</v>
      </c>
      <c r="D36" s="5">
        <v>2</v>
      </c>
      <c r="E36" s="7" t="s">
        <v>2</v>
      </c>
      <c r="F36" s="5">
        <v>3</v>
      </c>
      <c r="G36" s="6">
        <v>10</v>
      </c>
      <c r="H36" s="5" t="s">
        <v>20</v>
      </c>
      <c r="I36" s="15">
        <v>1</v>
      </c>
      <c r="J36" s="5">
        <v>83</v>
      </c>
      <c r="K36" s="15">
        <v>69</v>
      </c>
      <c r="L36" s="15">
        <v>21</v>
      </c>
      <c r="M36" s="15">
        <v>3</v>
      </c>
    </row>
    <row r="37" spans="1:13" x14ac:dyDescent="0.3">
      <c r="A37" s="4">
        <v>36</v>
      </c>
      <c r="B37" s="5" t="s">
        <v>4</v>
      </c>
      <c r="C37" s="5" t="s">
        <v>18</v>
      </c>
      <c r="D37" s="5">
        <v>1</v>
      </c>
      <c r="E37" s="8" t="s">
        <v>3</v>
      </c>
      <c r="F37" s="5">
        <v>3</v>
      </c>
      <c r="G37" s="6">
        <v>5</v>
      </c>
      <c r="H37" s="5"/>
      <c r="I37" s="15">
        <v>1</v>
      </c>
      <c r="J37" s="15">
        <v>21</v>
      </c>
      <c r="K37" s="5">
        <v>20.8</v>
      </c>
      <c r="L37" s="5">
        <v>16</v>
      </c>
      <c r="M37" s="5"/>
    </row>
    <row r="38" spans="1:13" x14ac:dyDescent="0.3">
      <c r="A38" s="4">
        <v>37</v>
      </c>
      <c r="B38" s="5" t="s">
        <v>4</v>
      </c>
      <c r="C38" s="5" t="s">
        <v>18</v>
      </c>
      <c r="D38" s="5">
        <v>1</v>
      </c>
      <c r="E38" s="8" t="s">
        <v>3</v>
      </c>
      <c r="F38" s="5">
        <v>3</v>
      </c>
      <c r="G38" s="6">
        <v>5</v>
      </c>
      <c r="H38" s="5"/>
      <c r="I38" s="15">
        <v>1</v>
      </c>
      <c r="J38" s="15">
        <v>21</v>
      </c>
      <c r="K38" s="5">
        <v>20.8</v>
      </c>
      <c r="L38" s="5">
        <v>16</v>
      </c>
      <c r="M38" s="5"/>
    </row>
    <row r="39" spans="1:13" x14ac:dyDescent="0.3">
      <c r="A39" s="4">
        <v>38</v>
      </c>
      <c r="B39" s="5" t="s">
        <v>14</v>
      </c>
      <c r="C39" s="5" t="s">
        <v>19</v>
      </c>
      <c r="D39" s="5">
        <v>2</v>
      </c>
      <c r="E39" s="7" t="s">
        <v>2</v>
      </c>
      <c r="F39" s="5">
        <v>3</v>
      </c>
      <c r="G39" s="6">
        <v>6</v>
      </c>
      <c r="H39" s="5" t="s">
        <v>20</v>
      </c>
      <c r="I39" s="15">
        <v>1</v>
      </c>
      <c r="J39" s="5">
        <v>50</v>
      </c>
      <c r="K39" s="5">
        <v>27</v>
      </c>
      <c r="L39" s="15">
        <v>21</v>
      </c>
      <c r="M39" s="5">
        <v>2</v>
      </c>
    </row>
    <row r="40" spans="1:13" x14ac:dyDescent="0.3">
      <c r="A40" s="4">
        <v>39</v>
      </c>
      <c r="B40" s="5" t="s">
        <v>12</v>
      </c>
      <c r="C40" s="5" t="s">
        <v>19</v>
      </c>
      <c r="D40" s="5">
        <v>2</v>
      </c>
      <c r="E40" s="7" t="s">
        <v>2</v>
      </c>
      <c r="F40" s="5">
        <v>3</v>
      </c>
      <c r="G40" s="6">
        <v>10</v>
      </c>
      <c r="H40" s="5" t="s">
        <v>20</v>
      </c>
      <c r="I40" s="15">
        <v>1</v>
      </c>
      <c r="J40" s="5">
        <v>83</v>
      </c>
      <c r="K40" s="15">
        <v>69</v>
      </c>
      <c r="L40" s="15">
        <v>21</v>
      </c>
      <c r="M40" s="15">
        <v>3</v>
      </c>
    </row>
    <row r="41" spans="1:13" x14ac:dyDescent="0.3">
      <c r="A41" s="4">
        <v>40</v>
      </c>
      <c r="B41" s="5" t="s">
        <v>12</v>
      </c>
      <c r="C41" s="5" t="s">
        <v>19</v>
      </c>
      <c r="D41" s="5">
        <v>2</v>
      </c>
      <c r="E41" s="7" t="s">
        <v>2</v>
      </c>
      <c r="F41" s="5">
        <v>3</v>
      </c>
      <c r="G41" s="6">
        <v>10</v>
      </c>
      <c r="H41" s="5" t="s">
        <v>20</v>
      </c>
      <c r="I41" s="15">
        <v>1</v>
      </c>
      <c r="J41" s="5">
        <v>83</v>
      </c>
      <c r="K41" s="15">
        <v>69</v>
      </c>
      <c r="L41" s="15">
        <v>21</v>
      </c>
      <c r="M41" s="15">
        <v>3</v>
      </c>
    </row>
    <row r="42" spans="1:13" x14ac:dyDescent="0.3">
      <c r="A42" s="4">
        <v>41</v>
      </c>
      <c r="B42" s="5" t="s">
        <v>14</v>
      </c>
      <c r="C42" s="5" t="s">
        <v>19</v>
      </c>
      <c r="D42" s="5">
        <v>2</v>
      </c>
      <c r="E42" s="7" t="s">
        <v>2</v>
      </c>
      <c r="F42" s="5">
        <v>3</v>
      </c>
      <c r="G42" s="6">
        <v>6</v>
      </c>
      <c r="H42" s="5" t="s">
        <v>20</v>
      </c>
      <c r="I42" s="15">
        <v>1</v>
      </c>
      <c r="J42" s="5">
        <v>50</v>
      </c>
      <c r="K42" s="5">
        <v>27</v>
      </c>
      <c r="L42" s="15">
        <v>21</v>
      </c>
      <c r="M42" s="5">
        <v>2</v>
      </c>
    </row>
    <row r="43" spans="1:13" x14ac:dyDescent="0.3">
      <c r="A43" s="4">
        <v>42</v>
      </c>
      <c r="B43" s="5" t="s">
        <v>16</v>
      </c>
      <c r="C43" s="5" t="s">
        <v>19</v>
      </c>
      <c r="D43" s="5">
        <v>1</v>
      </c>
      <c r="E43" s="7" t="s">
        <v>2</v>
      </c>
      <c r="F43" s="5">
        <v>4</v>
      </c>
      <c r="G43" s="6">
        <v>3</v>
      </c>
      <c r="H43" s="5"/>
      <c r="I43" s="5">
        <v>2</v>
      </c>
      <c r="J43" s="5">
        <v>11.5</v>
      </c>
      <c r="K43" s="5">
        <v>9</v>
      </c>
      <c r="L43" s="5">
        <v>16</v>
      </c>
      <c r="M43" s="5"/>
    </row>
    <row r="44" spans="1:13" x14ac:dyDescent="0.3">
      <c r="A44" s="4">
        <v>43</v>
      </c>
      <c r="B44" s="5" t="s">
        <v>15</v>
      </c>
      <c r="C44" s="5" t="s">
        <v>19</v>
      </c>
      <c r="D44" s="5">
        <v>1</v>
      </c>
      <c r="E44" s="7" t="s">
        <v>2</v>
      </c>
      <c r="F44" s="5">
        <v>4</v>
      </c>
      <c r="G44" s="6">
        <v>5</v>
      </c>
      <c r="H44" s="5" t="s">
        <v>20</v>
      </c>
      <c r="I44" s="5">
        <v>2</v>
      </c>
      <c r="J44" s="15">
        <v>21</v>
      </c>
      <c r="K44" s="5">
        <v>20.8</v>
      </c>
      <c r="L44" s="5">
        <v>16</v>
      </c>
      <c r="M44" s="5"/>
    </row>
    <row r="45" spans="1:13" x14ac:dyDescent="0.3">
      <c r="A45" s="4">
        <v>44</v>
      </c>
      <c r="B45" s="5" t="s">
        <v>15</v>
      </c>
      <c r="C45" s="5" t="s">
        <v>19</v>
      </c>
      <c r="D45" s="5">
        <v>1</v>
      </c>
      <c r="E45" s="7" t="s">
        <v>2</v>
      </c>
      <c r="F45" s="5">
        <v>4</v>
      </c>
      <c r="G45" s="6">
        <v>5</v>
      </c>
      <c r="H45" s="5" t="s">
        <v>20</v>
      </c>
      <c r="I45" s="5">
        <v>2</v>
      </c>
      <c r="J45" s="15">
        <v>21</v>
      </c>
      <c r="K45" s="5">
        <v>20.8</v>
      </c>
      <c r="L45" s="5">
        <v>16</v>
      </c>
      <c r="M45" s="5"/>
    </row>
    <row r="46" spans="1:13" x14ac:dyDescent="0.3">
      <c r="A46" s="4">
        <v>45</v>
      </c>
      <c r="B46" s="5" t="s">
        <v>4</v>
      </c>
      <c r="C46" s="5" t="s">
        <v>18</v>
      </c>
      <c r="D46" s="5">
        <v>1</v>
      </c>
      <c r="E46" s="5" t="s">
        <v>3</v>
      </c>
      <c r="F46" s="5">
        <v>4</v>
      </c>
      <c r="G46" s="6">
        <v>5</v>
      </c>
      <c r="H46" s="5"/>
      <c r="I46" s="5">
        <v>2</v>
      </c>
      <c r="J46" s="15">
        <v>21</v>
      </c>
      <c r="K46" s="5">
        <v>20.8</v>
      </c>
      <c r="L46" s="5">
        <v>16</v>
      </c>
      <c r="M46" s="5"/>
    </row>
    <row r="47" spans="1:13" x14ac:dyDescent="0.3">
      <c r="A47" s="4">
        <v>46</v>
      </c>
      <c r="B47" s="5" t="s">
        <v>4</v>
      </c>
      <c r="C47" s="5" t="s">
        <v>18</v>
      </c>
      <c r="D47" s="5">
        <v>1</v>
      </c>
      <c r="E47" s="5" t="s">
        <v>3</v>
      </c>
      <c r="F47" s="5">
        <v>4</v>
      </c>
      <c r="G47" s="6">
        <v>5</v>
      </c>
      <c r="H47" s="5"/>
      <c r="I47" s="5">
        <v>2</v>
      </c>
      <c r="J47" s="15">
        <v>21</v>
      </c>
      <c r="K47" s="5">
        <v>20.8</v>
      </c>
      <c r="L47" s="5">
        <v>16</v>
      </c>
      <c r="M47" s="5"/>
    </row>
    <row r="48" spans="1:13" x14ac:dyDescent="0.3">
      <c r="A48" s="4">
        <v>47</v>
      </c>
      <c r="B48" s="5" t="s">
        <v>4</v>
      </c>
      <c r="C48" s="5" t="s">
        <v>18</v>
      </c>
      <c r="D48" s="5">
        <v>1</v>
      </c>
      <c r="E48" s="5" t="s">
        <v>3</v>
      </c>
      <c r="F48" s="5">
        <v>4</v>
      </c>
      <c r="G48" s="6">
        <v>5</v>
      </c>
      <c r="H48" s="5"/>
      <c r="I48" s="5">
        <v>2</v>
      </c>
      <c r="J48" s="15">
        <v>21</v>
      </c>
      <c r="K48" s="5">
        <v>20.8</v>
      </c>
      <c r="L48" s="5">
        <v>16</v>
      </c>
      <c r="M48" s="5"/>
    </row>
    <row r="49" spans="1:13" x14ac:dyDescent="0.3">
      <c r="A49" s="4">
        <v>48</v>
      </c>
      <c r="B49" s="5" t="s">
        <v>4</v>
      </c>
      <c r="C49" s="5" t="s">
        <v>18</v>
      </c>
      <c r="D49" s="5">
        <v>1</v>
      </c>
      <c r="E49" s="5" t="s">
        <v>3</v>
      </c>
      <c r="F49" s="5">
        <v>4</v>
      </c>
      <c r="G49" s="6">
        <v>5</v>
      </c>
      <c r="H49" s="5"/>
      <c r="I49" s="5">
        <v>2</v>
      </c>
      <c r="J49" s="15">
        <v>21</v>
      </c>
      <c r="K49" s="5">
        <v>20.8</v>
      </c>
      <c r="L49" s="5">
        <v>16</v>
      </c>
      <c r="M49" s="5"/>
    </row>
    <row r="50" spans="1:13" x14ac:dyDescent="0.3">
      <c r="A50" s="4">
        <v>49</v>
      </c>
      <c r="B50" s="5" t="s">
        <v>5</v>
      </c>
      <c r="C50" s="5" t="s">
        <v>18</v>
      </c>
      <c r="D50" s="5">
        <v>2</v>
      </c>
      <c r="E50" s="5" t="s">
        <v>3</v>
      </c>
      <c r="F50" s="5">
        <v>4</v>
      </c>
      <c r="G50" s="6">
        <v>10</v>
      </c>
      <c r="H50" s="5"/>
      <c r="I50" s="5">
        <v>2</v>
      </c>
      <c r="J50" s="5">
        <v>83</v>
      </c>
      <c r="K50" s="15">
        <v>69</v>
      </c>
      <c r="L50" s="15">
        <v>21</v>
      </c>
      <c r="M50" s="15">
        <v>3</v>
      </c>
    </row>
    <row r="51" spans="1:13" x14ac:dyDescent="0.3">
      <c r="A51" s="4">
        <v>50</v>
      </c>
      <c r="B51" s="5" t="s">
        <v>5</v>
      </c>
      <c r="C51" s="5" t="s">
        <v>18</v>
      </c>
      <c r="D51" s="5">
        <v>2</v>
      </c>
      <c r="E51" s="5" t="s">
        <v>3</v>
      </c>
      <c r="F51" s="5">
        <v>4</v>
      </c>
      <c r="G51" s="6">
        <v>10</v>
      </c>
      <c r="H51" s="5"/>
      <c r="I51" s="5">
        <v>2</v>
      </c>
      <c r="J51" s="5">
        <v>83</v>
      </c>
      <c r="K51" s="15">
        <v>69</v>
      </c>
      <c r="L51" s="15">
        <v>21</v>
      </c>
      <c r="M51" s="15">
        <v>3</v>
      </c>
    </row>
    <row r="52" spans="1:13" x14ac:dyDescent="0.3">
      <c r="A52" s="4">
        <v>51</v>
      </c>
      <c r="B52" s="5" t="s">
        <v>5</v>
      </c>
      <c r="C52" s="5" t="s">
        <v>18</v>
      </c>
      <c r="D52" s="5">
        <v>2</v>
      </c>
      <c r="E52" s="5" t="s">
        <v>3</v>
      </c>
      <c r="F52" s="5">
        <v>4</v>
      </c>
      <c r="G52" s="6">
        <v>10</v>
      </c>
      <c r="H52" s="5"/>
      <c r="I52" s="5">
        <v>2</v>
      </c>
      <c r="J52" s="5">
        <v>83</v>
      </c>
      <c r="K52" s="15">
        <v>69</v>
      </c>
      <c r="L52" s="15">
        <v>21</v>
      </c>
      <c r="M52" s="15">
        <v>3</v>
      </c>
    </row>
    <row r="53" spans="1:13" x14ac:dyDescent="0.3">
      <c r="A53" s="4">
        <v>52</v>
      </c>
      <c r="B53" s="5" t="s">
        <v>7</v>
      </c>
      <c r="C53" s="5" t="s">
        <v>18</v>
      </c>
      <c r="D53" s="5">
        <v>1</v>
      </c>
      <c r="E53" s="5" t="s">
        <v>3</v>
      </c>
      <c r="F53" s="5">
        <v>4</v>
      </c>
      <c r="G53" s="6">
        <v>3</v>
      </c>
      <c r="H53" s="5"/>
      <c r="I53" s="5">
        <v>2</v>
      </c>
      <c r="J53" s="5">
        <v>11.5</v>
      </c>
      <c r="K53" s="5">
        <v>9</v>
      </c>
      <c r="L53" s="5">
        <v>16</v>
      </c>
      <c r="M53" s="5"/>
    </row>
    <row r="54" spans="1:13" x14ac:dyDescent="0.3">
      <c r="A54" s="4">
        <v>53</v>
      </c>
      <c r="B54" s="5" t="s">
        <v>12</v>
      </c>
      <c r="C54" s="5" t="s">
        <v>19</v>
      </c>
      <c r="D54" s="5">
        <v>2</v>
      </c>
      <c r="E54" s="9" t="s">
        <v>2</v>
      </c>
      <c r="F54" s="5">
        <v>4</v>
      </c>
      <c r="G54" s="6">
        <v>10</v>
      </c>
      <c r="H54" s="5" t="s">
        <v>20</v>
      </c>
      <c r="I54" s="5">
        <v>2</v>
      </c>
      <c r="J54" s="5">
        <v>83</v>
      </c>
      <c r="K54" s="15">
        <v>69</v>
      </c>
      <c r="L54" s="15">
        <v>21</v>
      </c>
      <c r="M54" s="15">
        <v>3</v>
      </c>
    </row>
    <row r="55" spans="1:13" x14ac:dyDescent="0.3">
      <c r="A55" s="4">
        <v>54</v>
      </c>
      <c r="B55" s="5" t="s">
        <v>12</v>
      </c>
      <c r="C55" s="5" t="s">
        <v>19</v>
      </c>
      <c r="D55" s="5">
        <v>2</v>
      </c>
      <c r="E55" s="9" t="s">
        <v>2</v>
      </c>
      <c r="F55" s="5">
        <v>4</v>
      </c>
      <c r="G55" s="6">
        <v>10</v>
      </c>
      <c r="H55" s="5" t="s">
        <v>20</v>
      </c>
      <c r="I55" s="5">
        <v>2</v>
      </c>
      <c r="J55" s="5">
        <v>83</v>
      </c>
      <c r="K55" s="15">
        <v>69</v>
      </c>
      <c r="L55" s="15">
        <v>21</v>
      </c>
      <c r="M55" s="15">
        <v>3</v>
      </c>
    </row>
    <row r="56" spans="1:13" x14ac:dyDescent="0.3">
      <c r="A56" s="4">
        <v>55</v>
      </c>
      <c r="B56" s="5" t="s">
        <v>6</v>
      </c>
      <c r="C56" s="5" t="s">
        <v>18</v>
      </c>
      <c r="D56" s="5">
        <v>2</v>
      </c>
      <c r="E56" s="5" t="s">
        <v>3</v>
      </c>
      <c r="F56" s="5">
        <v>3</v>
      </c>
      <c r="G56" s="6">
        <v>6</v>
      </c>
      <c r="H56" s="5"/>
      <c r="I56" s="15">
        <v>1</v>
      </c>
      <c r="J56" s="5">
        <v>50</v>
      </c>
      <c r="K56" s="5">
        <v>27</v>
      </c>
      <c r="L56" s="15">
        <v>21</v>
      </c>
      <c r="M56" s="5">
        <v>2</v>
      </c>
    </row>
    <row r="57" spans="1:13" x14ac:dyDescent="0.3">
      <c r="A57" s="4">
        <v>56</v>
      </c>
      <c r="B57" s="5" t="s">
        <v>5</v>
      </c>
      <c r="C57" s="5" t="s">
        <v>18</v>
      </c>
      <c r="D57" s="5">
        <v>2</v>
      </c>
      <c r="E57" s="5" t="s">
        <v>3</v>
      </c>
      <c r="F57" s="5">
        <v>3</v>
      </c>
      <c r="G57" s="6">
        <v>10</v>
      </c>
      <c r="H57" s="5"/>
      <c r="I57" s="15">
        <v>1</v>
      </c>
      <c r="J57" s="5">
        <v>83</v>
      </c>
      <c r="K57" s="15">
        <v>69</v>
      </c>
      <c r="L57" s="15">
        <v>21</v>
      </c>
      <c r="M57" s="15">
        <v>3</v>
      </c>
    </row>
    <row r="58" spans="1:13" x14ac:dyDescent="0.3">
      <c r="A58" s="4">
        <v>57</v>
      </c>
      <c r="B58" s="5" t="s">
        <v>5</v>
      </c>
      <c r="C58" s="5" t="s">
        <v>18</v>
      </c>
      <c r="D58" s="5">
        <v>2</v>
      </c>
      <c r="E58" s="5" t="s">
        <v>3</v>
      </c>
      <c r="F58" s="5">
        <v>3</v>
      </c>
      <c r="G58" s="6">
        <v>10</v>
      </c>
      <c r="H58" s="5"/>
      <c r="I58" s="15">
        <v>1</v>
      </c>
      <c r="J58" s="5">
        <v>83</v>
      </c>
      <c r="K58" s="15">
        <v>69</v>
      </c>
      <c r="L58" s="15">
        <v>21</v>
      </c>
      <c r="M58" s="15">
        <v>3</v>
      </c>
    </row>
    <row r="59" spans="1:13" x14ac:dyDescent="0.3">
      <c r="A59" s="4">
        <v>58</v>
      </c>
      <c r="B59" s="5" t="s">
        <v>6</v>
      </c>
      <c r="C59" s="5" t="s">
        <v>18</v>
      </c>
      <c r="D59" s="5">
        <v>2</v>
      </c>
      <c r="E59" s="5" t="s">
        <v>3</v>
      </c>
      <c r="F59" s="5">
        <v>3</v>
      </c>
      <c r="G59" s="6">
        <v>6</v>
      </c>
      <c r="H59" s="5"/>
      <c r="I59" s="15">
        <v>1</v>
      </c>
      <c r="J59" s="5">
        <v>50</v>
      </c>
      <c r="K59" s="5">
        <v>27</v>
      </c>
      <c r="L59" s="15">
        <v>21</v>
      </c>
      <c r="M59" s="5">
        <v>2</v>
      </c>
    </row>
    <row r="60" spans="1:13" x14ac:dyDescent="0.3">
      <c r="A60" s="4">
        <v>59</v>
      </c>
      <c r="B60" s="5" t="s">
        <v>4</v>
      </c>
      <c r="C60" s="5" t="s">
        <v>18</v>
      </c>
      <c r="D60" s="5">
        <v>1</v>
      </c>
      <c r="E60" s="5" t="s">
        <v>3</v>
      </c>
      <c r="F60" s="5">
        <v>3</v>
      </c>
      <c r="G60" s="6">
        <v>5</v>
      </c>
      <c r="H60" s="5"/>
      <c r="I60" s="15">
        <v>1</v>
      </c>
      <c r="J60" s="15">
        <v>21</v>
      </c>
      <c r="K60" s="5">
        <v>20.8</v>
      </c>
      <c r="L60" s="5">
        <v>16</v>
      </c>
      <c r="M60" s="5"/>
    </row>
    <row r="61" spans="1:13" x14ac:dyDescent="0.3">
      <c r="A61" s="4">
        <v>60</v>
      </c>
      <c r="B61" s="5" t="s">
        <v>4</v>
      </c>
      <c r="C61" s="5" t="s">
        <v>18</v>
      </c>
      <c r="D61" s="5">
        <v>1</v>
      </c>
      <c r="E61" s="5" t="s">
        <v>3</v>
      </c>
      <c r="F61" s="5">
        <v>3</v>
      </c>
      <c r="G61" s="6">
        <v>5</v>
      </c>
      <c r="H61" s="5"/>
      <c r="I61" s="15">
        <v>1</v>
      </c>
      <c r="J61" s="15">
        <v>21</v>
      </c>
      <c r="K61" s="5">
        <v>20.8</v>
      </c>
      <c r="L61" s="5">
        <v>16</v>
      </c>
      <c r="M61" s="5"/>
    </row>
    <row r="62" spans="1:13" x14ac:dyDescent="0.3">
      <c r="A62" s="4">
        <v>61</v>
      </c>
      <c r="B62" s="5" t="s">
        <v>5</v>
      </c>
      <c r="C62" s="5" t="s">
        <v>18</v>
      </c>
      <c r="D62" s="5">
        <v>2</v>
      </c>
      <c r="E62" s="5" t="s">
        <v>3</v>
      </c>
      <c r="F62" s="5">
        <v>2</v>
      </c>
      <c r="G62" s="6">
        <v>10</v>
      </c>
      <c r="H62" s="5"/>
      <c r="I62" s="15">
        <v>1</v>
      </c>
      <c r="J62" s="5">
        <v>83</v>
      </c>
      <c r="K62" s="15">
        <v>69</v>
      </c>
      <c r="L62" s="15">
        <v>21</v>
      </c>
      <c r="M62" s="15">
        <v>3</v>
      </c>
    </row>
    <row r="63" spans="1:13" x14ac:dyDescent="0.3">
      <c r="A63" s="4">
        <v>62</v>
      </c>
      <c r="B63" s="5" t="s">
        <v>6</v>
      </c>
      <c r="C63" s="5" t="s">
        <v>18</v>
      </c>
      <c r="D63" s="5">
        <v>2</v>
      </c>
      <c r="E63" s="5" t="s">
        <v>3</v>
      </c>
      <c r="F63" s="5">
        <v>2</v>
      </c>
      <c r="G63" s="6">
        <v>6</v>
      </c>
      <c r="H63" s="5"/>
      <c r="I63" s="15">
        <v>1</v>
      </c>
      <c r="J63" s="5">
        <v>50</v>
      </c>
      <c r="K63" s="5">
        <v>27</v>
      </c>
      <c r="L63" s="15">
        <v>21</v>
      </c>
      <c r="M63" s="5">
        <v>2</v>
      </c>
    </row>
    <row r="64" spans="1:13" x14ac:dyDescent="0.3">
      <c r="A64" s="4">
        <v>63</v>
      </c>
      <c r="B64" s="5" t="s">
        <v>5</v>
      </c>
      <c r="C64" s="5" t="s">
        <v>18</v>
      </c>
      <c r="D64" s="5">
        <v>2</v>
      </c>
      <c r="E64" s="5" t="s">
        <v>3</v>
      </c>
      <c r="F64" s="5">
        <v>2</v>
      </c>
      <c r="G64" s="6">
        <v>10</v>
      </c>
      <c r="H64" s="5"/>
      <c r="I64" s="15">
        <v>1</v>
      </c>
      <c r="J64" s="5">
        <v>83</v>
      </c>
      <c r="K64" s="15">
        <v>69</v>
      </c>
      <c r="L64" s="15">
        <v>21</v>
      </c>
      <c r="M64" s="15">
        <v>3</v>
      </c>
    </row>
    <row r="65" spans="1:13" x14ac:dyDescent="0.3">
      <c r="A65" s="4">
        <v>64</v>
      </c>
      <c r="B65" s="5" t="s">
        <v>5</v>
      </c>
      <c r="C65" s="5" t="s">
        <v>18</v>
      </c>
      <c r="D65" s="5">
        <v>2</v>
      </c>
      <c r="E65" s="5" t="s">
        <v>3</v>
      </c>
      <c r="F65" s="5">
        <v>2</v>
      </c>
      <c r="G65" s="6">
        <v>10</v>
      </c>
      <c r="H65" s="5"/>
      <c r="I65" s="15">
        <v>1</v>
      </c>
      <c r="J65" s="5">
        <v>83</v>
      </c>
      <c r="K65" s="15">
        <v>69</v>
      </c>
      <c r="L65" s="15">
        <v>21</v>
      </c>
      <c r="M65" s="15">
        <v>3</v>
      </c>
    </row>
    <row r="66" spans="1:13" x14ac:dyDescent="0.3">
      <c r="A66" s="4">
        <v>65</v>
      </c>
      <c r="B66" s="5" t="s">
        <v>15</v>
      </c>
      <c r="C66" s="5" t="s">
        <v>19</v>
      </c>
      <c r="D66" s="5">
        <v>1</v>
      </c>
      <c r="E66" s="9" t="s">
        <v>2</v>
      </c>
      <c r="F66" s="5">
        <v>2</v>
      </c>
      <c r="G66" s="6">
        <v>5</v>
      </c>
      <c r="H66" s="5" t="s">
        <v>20</v>
      </c>
      <c r="I66" s="15">
        <v>1</v>
      </c>
      <c r="J66" s="15">
        <v>21</v>
      </c>
      <c r="K66" s="5">
        <v>20.8</v>
      </c>
      <c r="L66" s="5">
        <v>16</v>
      </c>
      <c r="M66" s="5"/>
    </row>
    <row r="67" spans="1:13" x14ac:dyDescent="0.3">
      <c r="A67" s="4">
        <v>66</v>
      </c>
      <c r="B67" s="5" t="s">
        <v>4</v>
      </c>
      <c r="C67" s="5" t="s">
        <v>18</v>
      </c>
      <c r="D67" s="5">
        <v>1</v>
      </c>
      <c r="E67" s="5" t="s">
        <v>3</v>
      </c>
      <c r="F67" s="5">
        <v>1</v>
      </c>
      <c r="G67" s="6">
        <v>5</v>
      </c>
      <c r="H67" s="5"/>
      <c r="I67" s="5">
        <v>2</v>
      </c>
      <c r="J67" s="15">
        <v>21</v>
      </c>
      <c r="K67" s="5">
        <v>20.8</v>
      </c>
      <c r="L67" s="5">
        <v>16</v>
      </c>
      <c r="M67" s="5"/>
    </row>
    <row r="68" spans="1:13" x14ac:dyDescent="0.3">
      <c r="A68" s="4">
        <v>67</v>
      </c>
      <c r="B68" s="5" t="s">
        <v>4</v>
      </c>
      <c r="C68" s="5" t="s">
        <v>18</v>
      </c>
      <c r="D68" s="5">
        <v>1</v>
      </c>
      <c r="E68" s="5" t="s">
        <v>3</v>
      </c>
      <c r="F68" s="5">
        <v>1</v>
      </c>
      <c r="G68" s="6">
        <v>5</v>
      </c>
      <c r="H68" s="5"/>
      <c r="I68" s="5">
        <v>2</v>
      </c>
      <c r="J68" s="15">
        <v>21</v>
      </c>
      <c r="K68" s="5">
        <v>20.8</v>
      </c>
      <c r="L68" s="5">
        <v>16</v>
      </c>
      <c r="M68" s="5"/>
    </row>
    <row r="69" spans="1:13" x14ac:dyDescent="0.3">
      <c r="A69" s="4">
        <v>68</v>
      </c>
      <c r="B69" s="5" t="s">
        <v>4</v>
      </c>
      <c r="C69" s="5" t="s">
        <v>18</v>
      </c>
      <c r="D69" s="5">
        <v>1</v>
      </c>
      <c r="E69" s="5" t="s">
        <v>3</v>
      </c>
      <c r="F69" s="5">
        <v>2</v>
      </c>
      <c r="G69" s="6">
        <v>5</v>
      </c>
      <c r="H69" s="5"/>
      <c r="I69" s="15">
        <v>1</v>
      </c>
      <c r="J69" s="15">
        <v>21</v>
      </c>
      <c r="K69" s="5">
        <v>20.8</v>
      </c>
      <c r="L69" s="5">
        <v>16</v>
      </c>
      <c r="M69" s="5"/>
    </row>
    <row r="70" spans="1:13" x14ac:dyDescent="0.3">
      <c r="A70" s="4">
        <v>69</v>
      </c>
      <c r="B70" s="5" t="s">
        <v>4</v>
      </c>
      <c r="C70" s="5" t="s">
        <v>18</v>
      </c>
      <c r="D70" s="5">
        <v>1</v>
      </c>
      <c r="E70" s="5" t="s">
        <v>3</v>
      </c>
      <c r="F70" s="5">
        <v>1</v>
      </c>
      <c r="G70" s="6">
        <v>5</v>
      </c>
      <c r="H70" s="5"/>
      <c r="I70" s="5">
        <v>2</v>
      </c>
      <c r="J70" s="15">
        <v>21</v>
      </c>
      <c r="K70" s="5">
        <v>20.8</v>
      </c>
      <c r="L70" s="5">
        <v>16</v>
      </c>
      <c r="M70" s="5"/>
    </row>
    <row r="71" spans="1:13" x14ac:dyDescent="0.3">
      <c r="A71" s="4">
        <v>70</v>
      </c>
      <c r="B71" s="5" t="s">
        <v>5</v>
      </c>
      <c r="C71" s="5" t="s">
        <v>18</v>
      </c>
      <c r="D71" s="5">
        <v>2</v>
      </c>
      <c r="E71" s="5" t="s">
        <v>3</v>
      </c>
      <c r="F71" s="5">
        <v>1</v>
      </c>
      <c r="G71" s="6">
        <v>10</v>
      </c>
      <c r="H71" s="5"/>
      <c r="I71" s="5">
        <v>2</v>
      </c>
      <c r="J71" s="5">
        <v>83</v>
      </c>
      <c r="K71" s="15">
        <v>69</v>
      </c>
      <c r="L71" s="15">
        <v>21</v>
      </c>
      <c r="M71" s="15">
        <v>3</v>
      </c>
    </row>
    <row r="72" spans="1:13" x14ac:dyDescent="0.3">
      <c r="A72" s="4">
        <v>71</v>
      </c>
      <c r="B72" s="5" t="s">
        <v>5</v>
      </c>
      <c r="C72" s="5" t="s">
        <v>18</v>
      </c>
      <c r="D72" s="5">
        <v>2</v>
      </c>
      <c r="E72" s="5" t="s">
        <v>3</v>
      </c>
      <c r="F72" s="5">
        <v>1</v>
      </c>
      <c r="G72" s="6">
        <v>10</v>
      </c>
      <c r="H72" s="5" t="s">
        <v>25</v>
      </c>
      <c r="I72" s="5">
        <v>2</v>
      </c>
      <c r="J72" s="5">
        <v>83</v>
      </c>
      <c r="K72" s="15">
        <v>69</v>
      </c>
      <c r="L72" s="15">
        <v>21</v>
      </c>
      <c r="M72" s="15">
        <v>3</v>
      </c>
    </row>
    <row r="73" spans="1:13" x14ac:dyDescent="0.3">
      <c r="A73" s="4">
        <v>72</v>
      </c>
      <c r="B73" s="5" t="s">
        <v>7</v>
      </c>
      <c r="C73" s="5" t="s">
        <v>18</v>
      </c>
      <c r="D73" s="5">
        <v>1</v>
      </c>
      <c r="E73" s="5" t="s">
        <v>3</v>
      </c>
      <c r="F73" s="5">
        <v>1</v>
      </c>
      <c r="G73" s="6">
        <v>3</v>
      </c>
      <c r="H73" s="5"/>
      <c r="I73" s="5">
        <v>2</v>
      </c>
      <c r="J73" s="5">
        <v>11.5</v>
      </c>
      <c r="K73" s="5">
        <v>9</v>
      </c>
      <c r="L73" s="5">
        <v>16</v>
      </c>
      <c r="M73" s="5"/>
    </row>
    <row r="74" spans="1:13" x14ac:dyDescent="0.3">
      <c r="A74" s="4">
        <v>73</v>
      </c>
      <c r="B74" s="5" t="s">
        <v>5</v>
      </c>
      <c r="C74" s="5" t="s">
        <v>18</v>
      </c>
      <c r="D74" s="5">
        <v>2</v>
      </c>
      <c r="E74" s="5" t="s">
        <v>3</v>
      </c>
      <c r="F74" s="5">
        <v>1</v>
      </c>
      <c r="G74" s="6">
        <v>10</v>
      </c>
      <c r="H74" s="5"/>
      <c r="I74" s="5">
        <v>2</v>
      </c>
      <c r="J74" s="5">
        <v>83</v>
      </c>
      <c r="K74" s="15">
        <v>69</v>
      </c>
      <c r="L74" s="15">
        <v>21</v>
      </c>
      <c r="M74" s="15">
        <v>3</v>
      </c>
    </row>
    <row r="75" spans="1:13" x14ac:dyDescent="0.3">
      <c r="A75" s="4">
        <v>74</v>
      </c>
      <c r="B75" s="5" t="s">
        <v>5</v>
      </c>
      <c r="C75" s="5" t="s">
        <v>18</v>
      </c>
      <c r="D75" s="5">
        <v>2</v>
      </c>
      <c r="E75" s="5" t="s">
        <v>3</v>
      </c>
      <c r="F75" s="5">
        <v>1</v>
      </c>
      <c r="G75" s="6">
        <v>10</v>
      </c>
      <c r="H75" s="5"/>
      <c r="I75" s="5">
        <v>2</v>
      </c>
      <c r="J75" s="5">
        <v>83</v>
      </c>
      <c r="K75" s="15">
        <v>69</v>
      </c>
      <c r="L75" s="15">
        <v>21</v>
      </c>
      <c r="M75" s="15">
        <v>3</v>
      </c>
    </row>
    <row r="76" spans="1:13" x14ac:dyDescent="0.3">
      <c r="A76" s="4">
        <v>75</v>
      </c>
      <c r="B76" s="5" t="s">
        <v>5</v>
      </c>
      <c r="C76" s="5" t="s">
        <v>18</v>
      </c>
      <c r="D76" s="5">
        <v>2</v>
      </c>
      <c r="E76" s="5" t="s">
        <v>3</v>
      </c>
      <c r="F76" s="5">
        <v>1</v>
      </c>
      <c r="G76" s="6">
        <v>10</v>
      </c>
      <c r="H76" s="5"/>
      <c r="I76" s="5">
        <v>2</v>
      </c>
      <c r="J76" s="5">
        <v>83</v>
      </c>
      <c r="K76" s="15">
        <v>69</v>
      </c>
      <c r="L76" s="15">
        <v>21</v>
      </c>
      <c r="M76" s="15">
        <v>3</v>
      </c>
    </row>
    <row r="77" spans="1:13" x14ac:dyDescent="0.3">
      <c r="A77" s="4">
        <v>76</v>
      </c>
      <c r="B77" s="5" t="s">
        <v>5</v>
      </c>
      <c r="C77" s="5" t="s">
        <v>18</v>
      </c>
      <c r="D77" s="5">
        <v>2</v>
      </c>
      <c r="E77" s="5" t="s">
        <v>3</v>
      </c>
      <c r="F77" s="5">
        <v>1</v>
      </c>
      <c r="G77" s="6">
        <v>10</v>
      </c>
      <c r="H77" s="5"/>
      <c r="I77" s="5">
        <v>2</v>
      </c>
      <c r="J77" s="5">
        <v>83</v>
      </c>
      <c r="K77" s="15">
        <v>69</v>
      </c>
      <c r="L77" s="15">
        <v>21</v>
      </c>
      <c r="M77" s="15">
        <v>3</v>
      </c>
    </row>
    <row r="78" spans="1:13" x14ac:dyDescent="0.3">
      <c r="A78" s="4">
        <v>77</v>
      </c>
      <c r="B78" s="5" t="s">
        <v>5</v>
      </c>
      <c r="C78" s="5" t="s">
        <v>18</v>
      </c>
      <c r="D78" s="5">
        <v>2</v>
      </c>
      <c r="E78" s="5" t="s">
        <v>3</v>
      </c>
      <c r="F78" s="5">
        <v>2</v>
      </c>
      <c r="G78" s="6">
        <v>10</v>
      </c>
      <c r="H78" s="5"/>
      <c r="I78" s="15">
        <v>1</v>
      </c>
      <c r="J78" s="5">
        <v>83</v>
      </c>
      <c r="K78" s="15">
        <v>69</v>
      </c>
      <c r="L78" s="15">
        <v>21</v>
      </c>
      <c r="M78" s="15">
        <v>3</v>
      </c>
    </row>
    <row r="79" spans="1:13" x14ac:dyDescent="0.3">
      <c r="A79" s="4">
        <v>78</v>
      </c>
      <c r="B79" s="5" t="s">
        <v>5</v>
      </c>
      <c r="C79" s="5" t="s">
        <v>18</v>
      </c>
      <c r="D79" s="5">
        <v>2</v>
      </c>
      <c r="E79" s="5" t="s">
        <v>3</v>
      </c>
      <c r="F79" s="5">
        <v>2</v>
      </c>
      <c r="G79" s="6">
        <v>10</v>
      </c>
      <c r="H79" s="5"/>
      <c r="I79" s="15">
        <v>1</v>
      </c>
      <c r="J79" s="5">
        <v>83</v>
      </c>
      <c r="K79" s="15">
        <v>69</v>
      </c>
      <c r="L79" s="15">
        <v>21</v>
      </c>
      <c r="M79" s="15">
        <v>3</v>
      </c>
    </row>
    <row r="80" spans="1:13" x14ac:dyDescent="0.3">
      <c r="A80" s="4">
        <v>79</v>
      </c>
      <c r="B80" s="5" t="s">
        <v>5</v>
      </c>
      <c r="C80" s="5" t="s">
        <v>18</v>
      </c>
      <c r="D80" s="5">
        <v>2</v>
      </c>
      <c r="E80" s="5" t="s">
        <v>3</v>
      </c>
      <c r="F80" s="5">
        <v>2</v>
      </c>
      <c r="G80" s="6">
        <v>10</v>
      </c>
      <c r="H80" s="5"/>
      <c r="I80" s="15">
        <v>1</v>
      </c>
      <c r="J80" s="5">
        <v>83</v>
      </c>
      <c r="K80" s="15">
        <v>69</v>
      </c>
      <c r="L80" s="15">
        <v>21</v>
      </c>
      <c r="M80" s="15">
        <v>3</v>
      </c>
    </row>
    <row r="81" spans="1:13" x14ac:dyDescent="0.3">
      <c r="A81" s="4">
        <v>80</v>
      </c>
      <c r="B81" s="5" t="s">
        <v>5</v>
      </c>
      <c r="C81" s="5" t="s">
        <v>18</v>
      </c>
      <c r="D81" s="5">
        <v>2</v>
      </c>
      <c r="E81" s="5" t="s">
        <v>3</v>
      </c>
      <c r="F81" s="5">
        <v>2</v>
      </c>
      <c r="G81" s="6">
        <v>10</v>
      </c>
      <c r="H81" s="5"/>
      <c r="I81" s="15">
        <v>1</v>
      </c>
      <c r="J81" s="5">
        <v>83</v>
      </c>
      <c r="K81" s="15">
        <v>69</v>
      </c>
      <c r="L81" s="15">
        <v>21</v>
      </c>
      <c r="M81" s="15">
        <v>3</v>
      </c>
    </row>
    <row r="82" spans="1:13" x14ac:dyDescent="0.3">
      <c r="A82" s="4">
        <v>81</v>
      </c>
      <c r="B82" s="5" t="s">
        <v>5</v>
      </c>
      <c r="C82" s="5" t="s">
        <v>18</v>
      </c>
      <c r="D82" s="5">
        <v>2</v>
      </c>
      <c r="E82" s="5" t="s">
        <v>3</v>
      </c>
      <c r="F82" s="5">
        <v>2</v>
      </c>
      <c r="G82" s="6">
        <v>10</v>
      </c>
      <c r="H82" s="5"/>
      <c r="I82" s="15">
        <v>1</v>
      </c>
      <c r="J82" s="5">
        <v>83</v>
      </c>
      <c r="K82" s="15">
        <v>69</v>
      </c>
      <c r="L82" s="15">
        <v>21</v>
      </c>
      <c r="M82" s="15">
        <v>3</v>
      </c>
    </row>
    <row r="83" spans="1:13" x14ac:dyDescent="0.3">
      <c r="A83" s="4">
        <v>82</v>
      </c>
      <c r="B83" s="5" t="s">
        <v>5</v>
      </c>
      <c r="C83" s="5" t="s">
        <v>18</v>
      </c>
      <c r="D83" s="5">
        <v>2</v>
      </c>
      <c r="E83" s="5" t="s">
        <v>3</v>
      </c>
      <c r="F83" s="5">
        <v>2</v>
      </c>
      <c r="G83" s="6">
        <v>10</v>
      </c>
      <c r="H83" s="5"/>
      <c r="I83" s="15">
        <v>1</v>
      </c>
      <c r="J83" s="5">
        <v>83</v>
      </c>
      <c r="K83" s="15">
        <v>69</v>
      </c>
      <c r="L83" s="15">
        <v>21</v>
      </c>
      <c r="M83" s="15">
        <v>3</v>
      </c>
    </row>
    <row r="84" spans="1:13" x14ac:dyDescent="0.3">
      <c r="A84" s="4">
        <v>83</v>
      </c>
      <c r="B84" s="5" t="s">
        <v>5</v>
      </c>
      <c r="C84" s="5" t="s">
        <v>18</v>
      </c>
      <c r="D84" s="5">
        <v>2</v>
      </c>
      <c r="E84" s="5" t="s">
        <v>3</v>
      </c>
      <c r="F84" s="5">
        <v>2</v>
      </c>
      <c r="G84" s="6">
        <v>10</v>
      </c>
      <c r="H84" s="5"/>
      <c r="I84" s="15">
        <v>1</v>
      </c>
      <c r="J84" s="5">
        <v>83</v>
      </c>
      <c r="K84" s="15">
        <v>69</v>
      </c>
      <c r="L84" s="15">
        <v>21</v>
      </c>
      <c r="M84" s="15">
        <v>3</v>
      </c>
    </row>
    <row r="85" spans="1:13" x14ac:dyDescent="0.3">
      <c r="A85" s="4">
        <v>84</v>
      </c>
      <c r="B85" s="5" t="s">
        <v>5</v>
      </c>
      <c r="C85" s="5" t="s">
        <v>18</v>
      </c>
      <c r="D85" s="5">
        <v>2</v>
      </c>
      <c r="E85" s="5" t="s">
        <v>3</v>
      </c>
      <c r="F85" s="5">
        <v>2</v>
      </c>
      <c r="G85" s="6">
        <v>10</v>
      </c>
      <c r="H85" s="5"/>
      <c r="I85" s="15">
        <v>1</v>
      </c>
      <c r="J85" s="5">
        <v>83</v>
      </c>
      <c r="K85" s="15">
        <v>69</v>
      </c>
      <c r="L85" s="15">
        <v>21</v>
      </c>
      <c r="M85" s="15">
        <v>3</v>
      </c>
    </row>
    <row r="86" spans="1:13" x14ac:dyDescent="0.3">
      <c r="A86" s="4">
        <v>85</v>
      </c>
      <c r="B86" s="5" t="s">
        <v>5</v>
      </c>
      <c r="C86" s="5" t="s">
        <v>18</v>
      </c>
      <c r="D86" s="5">
        <v>2</v>
      </c>
      <c r="E86" s="5" t="s">
        <v>3</v>
      </c>
      <c r="F86" s="5">
        <v>2</v>
      </c>
      <c r="G86" s="6">
        <v>10</v>
      </c>
      <c r="H86" s="5"/>
      <c r="I86" s="15">
        <v>1</v>
      </c>
      <c r="J86" s="5">
        <v>83</v>
      </c>
      <c r="K86" s="15">
        <v>69</v>
      </c>
      <c r="L86" s="15">
        <v>21</v>
      </c>
      <c r="M86" s="15">
        <v>3</v>
      </c>
    </row>
    <row r="87" spans="1:13" x14ac:dyDescent="0.3">
      <c r="A87" s="4">
        <v>86</v>
      </c>
      <c r="B87" s="5" t="s">
        <v>5</v>
      </c>
      <c r="C87" s="5" t="s">
        <v>18</v>
      </c>
      <c r="D87" s="5">
        <v>2</v>
      </c>
      <c r="E87" s="5" t="s">
        <v>3</v>
      </c>
      <c r="F87" s="5">
        <v>2</v>
      </c>
      <c r="G87" s="6">
        <v>10</v>
      </c>
      <c r="H87" s="5"/>
      <c r="I87" s="15">
        <v>1</v>
      </c>
      <c r="J87" s="5">
        <v>83</v>
      </c>
      <c r="K87" s="15">
        <v>69</v>
      </c>
      <c r="L87" s="15">
        <v>21</v>
      </c>
      <c r="M87" s="15">
        <v>3</v>
      </c>
    </row>
    <row r="88" spans="1:13" x14ac:dyDescent="0.3">
      <c r="A88" s="4">
        <v>87</v>
      </c>
      <c r="B88" s="5" t="s">
        <v>5</v>
      </c>
      <c r="C88" s="5" t="s">
        <v>18</v>
      </c>
      <c r="D88" s="5">
        <v>2</v>
      </c>
      <c r="E88" s="5" t="s">
        <v>3</v>
      </c>
      <c r="F88" s="5">
        <v>2</v>
      </c>
      <c r="G88" s="6">
        <v>10</v>
      </c>
      <c r="H88" s="5"/>
      <c r="I88" s="15">
        <v>1</v>
      </c>
      <c r="J88" s="5">
        <v>83</v>
      </c>
      <c r="K88" s="15">
        <v>69</v>
      </c>
      <c r="L88" s="15">
        <v>21</v>
      </c>
      <c r="M88" s="15">
        <v>3</v>
      </c>
    </row>
    <row r="89" spans="1:13" x14ac:dyDescent="0.3">
      <c r="A89" s="4">
        <v>88</v>
      </c>
      <c r="B89" s="5" t="s">
        <v>5</v>
      </c>
      <c r="C89" s="5" t="s">
        <v>18</v>
      </c>
      <c r="D89" s="5">
        <v>2</v>
      </c>
      <c r="E89" s="5" t="s">
        <v>3</v>
      </c>
      <c r="F89" s="5">
        <v>2</v>
      </c>
      <c r="G89" s="6">
        <v>10</v>
      </c>
      <c r="H89" s="5"/>
      <c r="I89" s="15">
        <v>1</v>
      </c>
      <c r="J89" s="5">
        <v>83</v>
      </c>
      <c r="K89" s="15">
        <v>69</v>
      </c>
      <c r="L89" s="15">
        <v>21</v>
      </c>
      <c r="M89" s="15">
        <v>3</v>
      </c>
    </row>
    <row r="90" spans="1:13" x14ac:dyDescent="0.3">
      <c r="A90" s="4">
        <v>89</v>
      </c>
      <c r="B90" s="5" t="s">
        <v>7</v>
      </c>
      <c r="C90" s="5" t="s">
        <v>18</v>
      </c>
      <c r="D90" s="5">
        <v>1</v>
      </c>
      <c r="E90" s="5" t="s">
        <v>3</v>
      </c>
      <c r="F90" s="5">
        <v>1</v>
      </c>
      <c r="G90" s="6">
        <v>3</v>
      </c>
      <c r="H90" s="5"/>
      <c r="I90" s="5">
        <v>2</v>
      </c>
      <c r="J90" s="5">
        <v>11.5</v>
      </c>
      <c r="K90" s="5">
        <v>9</v>
      </c>
      <c r="L90" s="5">
        <v>16</v>
      </c>
      <c r="M90" s="5"/>
    </row>
    <row r="91" spans="1:13" x14ac:dyDescent="0.3">
      <c r="A91" s="4">
        <v>90</v>
      </c>
      <c r="B91" s="5" t="s">
        <v>7</v>
      </c>
      <c r="C91" s="5" t="s">
        <v>18</v>
      </c>
      <c r="D91" s="5">
        <v>1</v>
      </c>
      <c r="E91" s="5" t="s">
        <v>3</v>
      </c>
      <c r="F91" s="5">
        <v>1</v>
      </c>
      <c r="G91" s="6">
        <v>3</v>
      </c>
      <c r="H91" s="5"/>
      <c r="I91" s="5">
        <v>2</v>
      </c>
      <c r="J91" s="5">
        <v>11.5</v>
      </c>
      <c r="K91" s="5">
        <v>9</v>
      </c>
      <c r="L91" s="5">
        <v>16</v>
      </c>
      <c r="M91" s="5"/>
    </row>
    <row r="92" spans="1:13" x14ac:dyDescent="0.3">
      <c r="A92" s="10">
        <v>91</v>
      </c>
      <c r="B92" s="11" t="s">
        <v>7</v>
      </c>
      <c r="C92" s="11" t="s">
        <v>18</v>
      </c>
      <c r="D92" s="11">
        <v>1</v>
      </c>
      <c r="E92" s="11" t="s">
        <v>3</v>
      </c>
      <c r="F92" s="11">
        <v>2</v>
      </c>
      <c r="G92" s="12">
        <v>3</v>
      </c>
      <c r="H92" s="11"/>
      <c r="I92" s="15">
        <v>1</v>
      </c>
      <c r="J92" s="5">
        <v>11.5</v>
      </c>
      <c r="K92" s="5">
        <v>9</v>
      </c>
      <c r="L92" s="5">
        <v>16</v>
      </c>
      <c r="M92" s="11"/>
    </row>
    <row r="93" spans="1:13" x14ac:dyDescent="0.3">
      <c r="A93" s="10"/>
      <c r="B93" s="11"/>
      <c r="C93" s="11"/>
      <c r="D93" s="11"/>
      <c r="E93" s="11"/>
      <c r="F93" s="11"/>
      <c r="G93" s="12"/>
      <c r="H93" s="11"/>
      <c r="I93" s="11"/>
      <c r="J93" s="11">
        <f>SUBTOTAL(9,Table1[Số lượng dây điện])</f>
        <v>4795.5</v>
      </c>
      <c r="K93" s="11">
        <f>SUBTOTAL(9,Table1[Motor trượt])</f>
        <v>3911.8000000000011</v>
      </c>
      <c r="L93" s="11">
        <f>SUBTOTAL(9,Table1[Motor hàng rào])</f>
        <v>1726</v>
      </c>
      <c r="M93" s="11"/>
    </row>
    <row r="94" spans="1:13" x14ac:dyDescent="0.3">
      <c r="M94">
        <f>SUBTOTAL(9,Table1[Column1])</f>
        <v>154</v>
      </c>
    </row>
    <row r="95" spans="1:13" x14ac:dyDescent="0.3">
      <c r="A95" t="s">
        <v>38</v>
      </c>
      <c r="B95" t="s">
        <v>39</v>
      </c>
    </row>
    <row r="96" spans="1:13" x14ac:dyDescent="0.3">
      <c r="A96" t="s">
        <v>36</v>
      </c>
      <c r="B96">
        <f>Table1[[#Totals],[Số lượng dây điện]]+Table3[[#Totals],[Số lượng dây điện]]</f>
        <v>9215.5</v>
      </c>
    </row>
    <row r="97" spans="1:2" x14ac:dyDescent="0.3">
      <c r="A97" t="s">
        <v>37</v>
      </c>
      <c r="B97">
        <f>Table1[[#Totals],[Motor trượt]]+Table3[[#Totals],[Motor trượt]]</f>
        <v>7265.8000000000011</v>
      </c>
    </row>
    <row r="98" spans="1:2" x14ac:dyDescent="0.3">
      <c r="A98" t="s">
        <v>37</v>
      </c>
      <c r="B98">
        <f>Table1[[#Totals],[Motor hàng rào]]+Table3[[#Totals],[Motor hàng rào]]</f>
        <v>3028</v>
      </c>
    </row>
  </sheetData>
  <phoneticPr fontId="1" type="noConversion"/>
  <conditionalFormatting sqref="A2:G92">
    <cfRule type="expression" dxfId="17" priority="1">
      <formula>$G2=5</formula>
    </cfRule>
    <cfRule type="expression" dxfId="16" priority="2">
      <formula>$G2=6</formula>
    </cfRule>
    <cfRule type="expression" dxfId="15" priority="3">
      <formula>$G2=3</formula>
    </cfRule>
    <cfRule type="expression" dxfId="14" priority="4">
      <formula>$G2=10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F4C936AABD44EAE6B54EF5B992FFF" ma:contentTypeVersion="12" ma:contentTypeDescription="Create a new document." ma:contentTypeScope="" ma:versionID="8d40a7f82d0b3a34fcc2b1b40ac02e85">
  <xsd:schema xmlns:xsd="http://www.w3.org/2001/XMLSchema" xmlns:xs="http://www.w3.org/2001/XMLSchema" xmlns:p="http://schemas.microsoft.com/office/2006/metadata/properties" xmlns:ns2="bb85ac0c-225e-4f04-a4a8-c731f560fa4f" xmlns:ns3="deb37b46-6cfb-45c9-b8e3-059b6c03190b" targetNamespace="http://schemas.microsoft.com/office/2006/metadata/properties" ma:root="true" ma:fieldsID="9059d7e4bf0acffd8a347fb052b84781" ns2:_="" ns3:_="">
    <xsd:import namespace="bb85ac0c-225e-4f04-a4a8-c731f560fa4f"/>
    <xsd:import namespace="deb37b46-6cfb-45c9-b8e3-059b6c031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PIC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5ac0c-225e-4f04-a4a8-c731f56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b54205-ec91-4ac7-ac73-2fbde51753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IC" ma:index="18" nillable="true" ma:displayName="PIC" ma:format="Dropdown" ma:list="UserInfo" ma:SharePointGroup="0" ma:internalName="PIC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37b46-6cfb-45c9-b8e3-059b6c0319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e4f06a-e71e-4bb7-b853-99daec5a4135}" ma:internalName="TaxCatchAll" ma:showField="CatchAllData" ma:web="deb37b46-6cfb-45c9-b8e3-059b6c031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85ac0c-225e-4f04-a4a8-c731f560fa4f">
      <Terms xmlns="http://schemas.microsoft.com/office/infopath/2007/PartnerControls"/>
    </lcf76f155ced4ddcb4097134ff3c332f>
    <PIC xmlns="bb85ac0c-225e-4f04-a4a8-c731f560fa4f">
      <UserInfo>
        <DisplayName/>
        <AccountId xsi:nil="true"/>
        <AccountType/>
      </UserInfo>
    </PIC>
    <TaxCatchAll xmlns="deb37b46-6cfb-45c9-b8e3-059b6c03190b" xsi:nil="true"/>
  </documentManagement>
</p:properties>
</file>

<file path=customXml/itemProps1.xml><?xml version="1.0" encoding="utf-8"?>
<ds:datastoreItem xmlns:ds="http://schemas.openxmlformats.org/officeDocument/2006/customXml" ds:itemID="{5B94B65F-C91D-4732-B5F8-188532C61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5ac0c-225e-4f04-a4a8-c731f560fa4f"/>
    <ds:schemaRef ds:uri="deb37b46-6cfb-45c9-b8e3-059b6c031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FF94A-FC33-432F-A163-BED0E4B3B5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F8F042-963B-4E9F-9B70-0B5B957791BA}">
  <ds:schemaRefs>
    <ds:schemaRef ds:uri="http://schemas.microsoft.com/office/2006/metadata/properties"/>
    <ds:schemaRef ds:uri="http://schemas.microsoft.com/office/infopath/2007/PartnerControls"/>
    <ds:schemaRef ds:uri="bb85ac0c-225e-4f04-a4a8-c731f560fa4f"/>
    <ds:schemaRef ds:uri="deb37b46-6cfb-45c9-b8e3-059b6c0319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CL1</vt:lpstr>
      <vt:lpstr>CL2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LAP-Dinh (TotalParking)</dc:creator>
  <cp:lastModifiedBy>Minh Chiến</cp:lastModifiedBy>
  <dcterms:created xsi:type="dcterms:W3CDTF">2025-10-29T04:27:00Z</dcterms:created>
  <dcterms:modified xsi:type="dcterms:W3CDTF">2026-09-12T07:24:29Z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0x0101006D5F4C936AABD44EAE6B54EF5B992FFF</vt:lpwstr>
  </property>
  <property fmtid="{D5CDD505-2E9C-101B-9397-08002B2CF9AE}" pid="3" name="MediaServiceImageTags">
    <vt:lpwstr/>
  </property>
</Properties>
</file>